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style1.xml" ContentType="application/vnd.ms-office.chartstyle+xml"/>
  <Override PartName="/xl/charts/colors1.xml" ContentType="application/vnd.ms-office.chartcolorstyle+xml"/>
  <Override PartName="/xl/charts/chart5.xml" ContentType="application/vnd.openxmlformats-officedocument.drawingml.chart+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BISWAJEET OJHA\Downloads\"/>
    </mc:Choice>
  </mc:AlternateContent>
  <xr:revisionPtr revIDLastSave="0" documentId="13_ncr:1_{DC4799B6-359C-47F2-8D8E-293F3434E5D1}" xr6:coauthVersionLast="47" xr6:coauthVersionMax="47" xr10:uidLastSave="{00000000-0000-0000-0000-000000000000}"/>
  <bookViews>
    <workbookView xWindow="-108" yWindow="-108" windowWidth="23256" windowHeight="12456" tabRatio="500" xr2:uid="{00000000-000D-0000-FFFF-FFFF00000000}"/>
  </bookViews>
  <sheets>
    <sheet name="Pivot" sheetId="8" r:id="rId1"/>
    <sheet name="Riders (HR)" sheetId="4" r:id="rId2"/>
    <sheet name="Loss Analysis" sheetId="5" r:id="rId3"/>
    <sheet name="Dashboard" sheetId="9" r:id="rId4"/>
    <sheet name="Orders" sheetId="3" r:id="rId5"/>
    <sheet name="Assumptions" sheetId="2" r:id="rId6"/>
  </sheets>
  <definedNames>
    <definedName name="Slicer_City">#N/A</definedName>
    <definedName name="Slicer_Month">#N/A</definedName>
  </definedNames>
  <calcPr calcId="191029" iterateDelta="1E-4"/>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K210" i="3" l="1"/>
  <c r="Q210" i="3"/>
  <c r="R210" i="3"/>
  <c r="T210" i="3" s="1"/>
  <c r="U210" i="3" s="1"/>
  <c r="S210" i="3"/>
  <c r="K211" i="3"/>
  <c r="Q211" i="3"/>
  <c r="R211" i="3"/>
  <c r="T211" i="3" s="1"/>
  <c r="S211" i="3"/>
  <c r="K212" i="3"/>
  <c r="Q212" i="3"/>
  <c r="R212" i="3"/>
  <c r="S212" i="3"/>
  <c r="T212" i="3"/>
  <c r="K213" i="3"/>
  <c r="Q213" i="3"/>
  <c r="R213" i="3"/>
  <c r="S213" i="3"/>
  <c r="K214" i="3"/>
  <c r="Q214" i="3"/>
  <c r="R214" i="3"/>
  <c r="S214" i="3"/>
  <c r="K215" i="3"/>
  <c r="Q215" i="3"/>
  <c r="R215" i="3"/>
  <c r="S215" i="3"/>
  <c r="K216" i="3"/>
  <c r="Q216" i="3"/>
  <c r="R216" i="3"/>
  <c r="S216" i="3"/>
  <c r="K217" i="3"/>
  <c r="Q217" i="3"/>
  <c r="R217" i="3"/>
  <c r="S217" i="3"/>
  <c r="K218" i="3"/>
  <c r="Q218" i="3"/>
  <c r="R218" i="3"/>
  <c r="S218" i="3"/>
  <c r="K219" i="3"/>
  <c r="Q219" i="3"/>
  <c r="R219" i="3"/>
  <c r="S219" i="3"/>
  <c r="K220" i="3"/>
  <c r="Q220" i="3"/>
  <c r="R220" i="3"/>
  <c r="S220" i="3"/>
  <c r="T220" i="3" s="1"/>
  <c r="Q2" i="3"/>
  <c r="Q3" i="3"/>
  <c r="Q4" i="3"/>
  <c r="Q5" i="3"/>
  <c r="Q6" i="3"/>
  <c r="Q7" i="3"/>
  <c r="Q8" i="3"/>
  <c r="Q9" i="3"/>
  <c r="Q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83" i="3"/>
  <c r="Q84" i="3"/>
  <c r="Q85" i="3"/>
  <c r="Q86" i="3"/>
  <c r="Q87" i="3"/>
  <c r="Q88" i="3"/>
  <c r="Q89" i="3"/>
  <c r="Q90" i="3"/>
  <c r="Q91" i="3"/>
  <c r="Q92" i="3"/>
  <c r="Q93" i="3"/>
  <c r="Q94" i="3"/>
  <c r="Q95" i="3"/>
  <c r="Q96" i="3"/>
  <c r="Q97" i="3"/>
  <c r="Q98" i="3"/>
  <c r="Q99" i="3"/>
  <c r="Q100" i="3"/>
  <c r="Q101" i="3"/>
  <c r="Q102" i="3"/>
  <c r="Q103" i="3"/>
  <c r="Q104" i="3"/>
  <c r="Q105" i="3"/>
  <c r="Q106" i="3"/>
  <c r="Q107" i="3"/>
  <c r="Q108" i="3"/>
  <c r="Q109" i="3"/>
  <c r="Q110" i="3"/>
  <c r="Q111" i="3"/>
  <c r="Q112" i="3"/>
  <c r="Q113" i="3"/>
  <c r="Q114" i="3"/>
  <c r="Q115" i="3"/>
  <c r="Q116" i="3"/>
  <c r="Q117" i="3"/>
  <c r="Q118" i="3"/>
  <c r="Q119" i="3"/>
  <c r="Q120" i="3"/>
  <c r="Q121" i="3"/>
  <c r="Q122" i="3"/>
  <c r="Q123" i="3"/>
  <c r="Q124" i="3"/>
  <c r="Q125" i="3"/>
  <c r="Q126" i="3"/>
  <c r="Q127" i="3"/>
  <c r="Q128" i="3"/>
  <c r="Q129" i="3"/>
  <c r="Q130" i="3"/>
  <c r="Q131" i="3"/>
  <c r="Q132" i="3"/>
  <c r="Q133" i="3"/>
  <c r="Q134" i="3"/>
  <c r="Q135" i="3"/>
  <c r="Q136" i="3"/>
  <c r="Q137" i="3"/>
  <c r="Q138" i="3"/>
  <c r="Q139" i="3"/>
  <c r="Q140" i="3"/>
  <c r="Q141" i="3"/>
  <c r="Q142" i="3"/>
  <c r="Q143" i="3"/>
  <c r="Q144" i="3"/>
  <c r="Q145" i="3"/>
  <c r="Q146" i="3"/>
  <c r="Q147" i="3"/>
  <c r="Q148" i="3"/>
  <c r="Q149" i="3"/>
  <c r="Q150" i="3"/>
  <c r="Q151" i="3"/>
  <c r="Q152" i="3"/>
  <c r="Q153" i="3"/>
  <c r="Q154" i="3"/>
  <c r="Q155" i="3"/>
  <c r="Q156" i="3"/>
  <c r="Q157" i="3"/>
  <c r="Q158" i="3"/>
  <c r="Q159" i="3"/>
  <c r="Q160" i="3"/>
  <c r="Q161" i="3"/>
  <c r="Q162" i="3"/>
  <c r="Q163" i="3"/>
  <c r="Q164" i="3"/>
  <c r="Q165" i="3"/>
  <c r="Q166" i="3"/>
  <c r="Q167" i="3"/>
  <c r="Q168" i="3"/>
  <c r="Q169" i="3"/>
  <c r="Q170" i="3"/>
  <c r="Q171" i="3"/>
  <c r="Q172" i="3"/>
  <c r="Q173" i="3"/>
  <c r="Q174" i="3"/>
  <c r="Q175" i="3"/>
  <c r="Q176" i="3"/>
  <c r="Q177" i="3"/>
  <c r="Q178" i="3"/>
  <c r="Q179" i="3"/>
  <c r="Q180" i="3"/>
  <c r="Q181" i="3"/>
  <c r="Q182" i="3"/>
  <c r="Q183" i="3"/>
  <c r="Q184" i="3"/>
  <c r="Q185" i="3"/>
  <c r="Q186" i="3"/>
  <c r="Q187" i="3"/>
  <c r="Q188" i="3"/>
  <c r="Q189" i="3"/>
  <c r="Q190" i="3"/>
  <c r="Q191" i="3"/>
  <c r="Q192" i="3"/>
  <c r="Q193" i="3"/>
  <c r="Q194" i="3"/>
  <c r="Q195" i="3"/>
  <c r="Q196" i="3"/>
  <c r="Q197" i="3"/>
  <c r="Q198" i="3"/>
  <c r="Q199" i="3"/>
  <c r="Q200" i="3"/>
  <c r="Q201" i="3"/>
  <c r="Q202" i="3"/>
  <c r="Q203" i="3"/>
  <c r="Q204" i="3"/>
  <c r="Q205" i="3"/>
  <c r="Q206" i="3"/>
  <c r="Q207" i="3"/>
  <c r="Q208" i="3"/>
  <c r="Q209" i="3"/>
  <c r="Q221" i="3"/>
  <c r="R2" i="3"/>
  <c r="R3" i="3"/>
  <c r="R4" i="3"/>
  <c r="R5" i="3"/>
  <c r="R6" i="3"/>
  <c r="R7" i="3"/>
  <c r="R8" i="3"/>
  <c r="R9" i="3"/>
  <c r="R10" i="3"/>
  <c r="R11" i="3"/>
  <c r="R12" i="3"/>
  <c r="R13" i="3"/>
  <c r="R14" i="3"/>
  <c r="R15" i="3"/>
  <c r="R16" i="3"/>
  <c r="R17" i="3"/>
  <c r="R18" i="3"/>
  <c r="R19" i="3"/>
  <c r="R20" i="3"/>
  <c r="R21" i="3"/>
  <c r="R22" i="3"/>
  <c r="R23" i="3"/>
  <c r="R24" i="3"/>
  <c r="R25" i="3"/>
  <c r="R26" i="3"/>
  <c r="R27" i="3"/>
  <c r="R28" i="3"/>
  <c r="R29" i="3"/>
  <c r="R30" i="3"/>
  <c r="R31" i="3"/>
  <c r="R32" i="3"/>
  <c r="R33" i="3"/>
  <c r="R34" i="3"/>
  <c r="R35" i="3"/>
  <c r="R36" i="3"/>
  <c r="R37" i="3"/>
  <c r="R38" i="3"/>
  <c r="R39" i="3"/>
  <c r="R40" i="3"/>
  <c r="R41" i="3"/>
  <c r="R42" i="3"/>
  <c r="R43" i="3"/>
  <c r="R44" i="3"/>
  <c r="R45" i="3"/>
  <c r="R46" i="3"/>
  <c r="R47" i="3"/>
  <c r="R48" i="3"/>
  <c r="R49" i="3"/>
  <c r="R50" i="3"/>
  <c r="R51" i="3"/>
  <c r="R52" i="3"/>
  <c r="R53" i="3"/>
  <c r="R54" i="3"/>
  <c r="R55" i="3"/>
  <c r="R56" i="3"/>
  <c r="R57" i="3"/>
  <c r="R58" i="3"/>
  <c r="R59" i="3"/>
  <c r="R60" i="3"/>
  <c r="R61" i="3"/>
  <c r="R62" i="3"/>
  <c r="R63" i="3"/>
  <c r="R64" i="3"/>
  <c r="R65" i="3"/>
  <c r="R66" i="3"/>
  <c r="R67" i="3"/>
  <c r="R68" i="3"/>
  <c r="R69" i="3"/>
  <c r="R70" i="3"/>
  <c r="R71" i="3"/>
  <c r="R72" i="3"/>
  <c r="R73" i="3"/>
  <c r="R74" i="3"/>
  <c r="R75" i="3"/>
  <c r="R76" i="3"/>
  <c r="R77" i="3"/>
  <c r="R78" i="3"/>
  <c r="R79" i="3"/>
  <c r="R80" i="3"/>
  <c r="R81" i="3"/>
  <c r="R82" i="3"/>
  <c r="R83" i="3"/>
  <c r="R84" i="3"/>
  <c r="R85" i="3"/>
  <c r="R86" i="3"/>
  <c r="R87" i="3"/>
  <c r="R88" i="3"/>
  <c r="R89" i="3"/>
  <c r="R90" i="3"/>
  <c r="R91" i="3"/>
  <c r="R92" i="3"/>
  <c r="R93" i="3"/>
  <c r="R94" i="3"/>
  <c r="R95" i="3"/>
  <c r="R96" i="3"/>
  <c r="R97" i="3"/>
  <c r="R98" i="3"/>
  <c r="R99" i="3"/>
  <c r="R100" i="3"/>
  <c r="R101" i="3"/>
  <c r="R102" i="3"/>
  <c r="R103" i="3"/>
  <c r="R104" i="3"/>
  <c r="R105" i="3"/>
  <c r="R106" i="3"/>
  <c r="R107" i="3"/>
  <c r="R108" i="3"/>
  <c r="R109" i="3"/>
  <c r="R110" i="3"/>
  <c r="R111" i="3"/>
  <c r="R112" i="3"/>
  <c r="R113" i="3"/>
  <c r="R114" i="3"/>
  <c r="R115" i="3"/>
  <c r="R116" i="3"/>
  <c r="R117" i="3"/>
  <c r="R118" i="3"/>
  <c r="R119" i="3"/>
  <c r="R120" i="3"/>
  <c r="R121" i="3"/>
  <c r="R122" i="3"/>
  <c r="R123" i="3"/>
  <c r="R124" i="3"/>
  <c r="R125" i="3"/>
  <c r="R126" i="3"/>
  <c r="R127" i="3"/>
  <c r="R128" i="3"/>
  <c r="R129" i="3"/>
  <c r="R130" i="3"/>
  <c r="R131" i="3"/>
  <c r="R132" i="3"/>
  <c r="R133" i="3"/>
  <c r="R134" i="3"/>
  <c r="R135" i="3"/>
  <c r="R136" i="3"/>
  <c r="R137" i="3"/>
  <c r="R138" i="3"/>
  <c r="R139" i="3"/>
  <c r="R140" i="3"/>
  <c r="R141" i="3"/>
  <c r="R142" i="3"/>
  <c r="R143" i="3"/>
  <c r="R144" i="3"/>
  <c r="R145" i="3"/>
  <c r="R146" i="3"/>
  <c r="R147" i="3"/>
  <c r="R148" i="3"/>
  <c r="R149" i="3"/>
  <c r="R150" i="3"/>
  <c r="R151" i="3"/>
  <c r="R152" i="3"/>
  <c r="R153" i="3"/>
  <c r="R154" i="3"/>
  <c r="R155" i="3"/>
  <c r="R156" i="3"/>
  <c r="R157" i="3"/>
  <c r="R158" i="3"/>
  <c r="R159" i="3"/>
  <c r="R160" i="3"/>
  <c r="R161" i="3"/>
  <c r="R162" i="3"/>
  <c r="R163" i="3"/>
  <c r="R164" i="3"/>
  <c r="R165" i="3"/>
  <c r="R166" i="3"/>
  <c r="R167" i="3"/>
  <c r="R168" i="3"/>
  <c r="R169" i="3"/>
  <c r="R170" i="3"/>
  <c r="R171" i="3"/>
  <c r="R172" i="3"/>
  <c r="R173" i="3"/>
  <c r="R174" i="3"/>
  <c r="R175" i="3"/>
  <c r="R176" i="3"/>
  <c r="R177" i="3"/>
  <c r="R178" i="3"/>
  <c r="R179" i="3"/>
  <c r="R180" i="3"/>
  <c r="R181" i="3"/>
  <c r="R182" i="3"/>
  <c r="R183" i="3"/>
  <c r="R184" i="3"/>
  <c r="R185" i="3"/>
  <c r="R186" i="3"/>
  <c r="R187" i="3"/>
  <c r="R188" i="3"/>
  <c r="R189" i="3"/>
  <c r="R190" i="3"/>
  <c r="R191" i="3"/>
  <c r="R192" i="3"/>
  <c r="R193" i="3"/>
  <c r="R194" i="3"/>
  <c r="R195" i="3"/>
  <c r="R196" i="3"/>
  <c r="R197" i="3"/>
  <c r="R198" i="3"/>
  <c r="R199" i="3"/>
  <c r="R200" i="3"/>
  <c r="R201" i="3"/>
  <c r="R202" i="3"/>
  <c r="R203" i="3"/>
  <c r="R204" i="3"/>
  <c r="R205" i="3"/>
  <c r="R206" i="3"/>
  <c r="R207" i="3"/>
  <c r="R208" i="3"/>
  <c r="R209" i="3"/>
  <c r="R221" i="3"/>
  <c r="S2" i="3"/>
  <c r="S3" i="3"/>
  <c r="S4" i="3"/>
  <c r="S5" i="3"/>
  <c r="S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56" i="3"/>
  <c r="S57" i="3"/>
  <c r="S58" i="3"/>
  <c r="S59" i="3"/>
  <c r="S60" i="3"/>
  <c r="S61" i="3"/>
  <c r="S62" i="3"/>
  <c r="S63" i="3"/>
  <c r="S64" i="3"/>
  <c r="S65" i="3"/>
  <c r="S66" i="3"/>
  <c r="S67" i="3"/>
  <c r="S68" i="3"/>
  <c r="S69" i="3"/>
  <c r="S70" i="3"/>
  <c r="S71" i="3"/>
  <c r="S72" i="3"/>
  <c r="S73" i="3"/>
  <c r="S74" i="3"/>
  <c r="S75" i="3"/>
  <c r="S76" i="3"/>
  <c r="S77" i="3"/>
  <c r="S78" i="3"/>
  <c r="S79" i="3"/>
  <c r="S80" i="3"/>
  <c r="S81" i="3"/>
  <c r="S82" i="3"/>
  <c r="S83" i="3"/>
  <c r="S84" i="3"/>
  <c r="S85" i="3"/>
  <c r="S86" i="3"/>
  <c r="S87" i="3"/>
  <c r="S88" i="3"/>
  <c r="S89" i="3"/>
  <c r="S90" i="3"/>
  <c r="S91" i="3"/>
  <c r="S92" i="3"/>
  <c r="S93" i="3"/>
  <c r="S94" i="3"/>
  <c r="S95" i="3"/>
  <c r="S96" i="3"/>
  <c r="S97" i="3"/>
  <c r="S98" i="3"/>
  <c r="S99" i="3"/>
  <c r="S100" i="3"/>
  <c r="S101" i="3"/>
  <c r="S102" i="3"/>
  <c r="S103" i="3"/>
  <c r="S104" i="3"/>
  <c r="S105" i="3"/>
  <c r="S106" i="3"/>
  <c r="S107" i="3"/>
  <c r="S108" i="3"/>
  <c r="S109" i="3"/>
  <c r="S110" i="3"/>
  <c r="S111" i="3"/>
  <c r="S112" i="3"/>
  <c r="S113" i="3"/>
  <c r="S114" i="3"/>
  <c r="S115" i="3"/>
  <c r="S116" i="3"/>
  <c r="S117" i="3"/>
  <c r="S118" i="3"/>
  <c r="S119" i="3"/>
  <c r="S120" i="3"/>
  <c r="S121" i="3"/>
  <c r="S122" i="3"/>
  <c r="S123" i="3"/>
  <c r="S124" i="3"/>
  <c r="S125" i="3"/>
  <c r="S126" i="3"/>
  <c r="S127" i="3"/>
  <c r="S128" i="3"/>
  <c r="S129" i="3"/>
  <c r="S130" i="3"/>
  <c r="S131" i="3"/>
  <c r="S132" i="3"/>
  <c r="S133" i="3"/>
  <c r="S134" i="3"/>
  <c r="S135" i="3"/>
  <c r="S136" i="3"/>
  <c r="S137" i="3"/>
  <c r="S138" i="3"/>
  <c r="S139" i="3"/>
  <c r="S140" i="3"/>
  <c r="S141" i="3"/>
  <c r="S142" i="3"/>
  <c r="S143" i="3"/>
  <c r="S144" i="3"/>
  <c r="S145" i="3"/>
  <c r="S146" i="3"/>
  <c r="S147" i="3"/>
  <c r="S148" i="3"/>
  <c r="S149" i="3"/>
  <c r="S150" i="3"/>
  <c r="S151" i="3"/>
  <c r="S152" i="3"/>
  <c r="S153" i="3"/>
  <c r="S154" i="3"/>
  <c r="S155" i="3"/>
  <c r="S156" i="3"/>
  <c r="S157" i="3"/>
  <c r="S158" i="3"/>
  <c r="S159" i="3"/>
  <c r="S160" i="3"/>
  <c r="S161" i="3"/>
  <c r="S162" i="3"/>
  <c r="S163" i="3"/>
  <c r="S164" i="3"/>
  <c r="S165" i="3"/>
  <c r="S166" i="3"/>
  <c r="S167" i="3"/>
  <c r="S168" i="3"/>
  <c r="S169" i="3"/>
  <c r="S170" i="3"/>
  <c r="S171" i="3"/>
  <c r="S172" i="3"/>
  <c r="S173" i="3"/>
  <c r="S174" i="3"/>
  <c r="S175" i="3"/>
  <c r="S176" i="3"/>
  <c r="S177" i="3"/>
  <c r="S178" i="3"/>
  <c r="S179" i="3"/>
  <c r="S180" i="3"/>
  <c r="S181" i="3"/>
  <c r="S182" i="3"/>
  <c r="S183" i="3"/>
  <c r="S184" i="3"/>
  <c r="S185" i="3"/>
  <c r="S186" i="3"/>
  <c r="S187" i="3"/>
  <c r="S188" i="3"/>
  <c r="S189" i="3"/>
  <c r="S190" i="3"/>
  <c r="S191" i="3"/>
  <c r="S192" i="3"/>
  <c r="S193" i="3"/>
  <c r="S194" i="3"/>
  <c r="S195" i="3"/>
  <c r="S196" i="3"/>
  <c r="S197" i="3"/>
  <c r="S198" i="3"/>
  <c r="S199" i="3"/>
  <c r="S200" i="3"/>
  <c r="S201" i="3"/>
  <c r="S202" i="3"/>
  <c r="S203" i="3"/>
  <c r="S204" i="3"/>
  <c r="S205" i="3"/>
  <c r="S206" i="3"/>
  <c r="S207" i="3"/>
  <c r="S208" i="3"/>
  <c r="S209" i="3"/>
  <c r="S221" i="3"/>
  <c r="O56" i="8"/>
  <c r="N56" i="8"/>
  <c r="M56" i="8"/>
  <c r="O55" i="8"/>
  <c r="N55" i="8"/>
  <c r="M55" i="8"/>
  <c r="O54" i="8"/>
  <c r="N54" i="8"/>
  <c r="M54" i="8"/>
  <c r="O53" i="8"/>
  <c r="N53" i="8"/>
  <c r="M53" i="8"/>
  <c r="O52" i="8"/>
  <c r="N52" i="8"/>
  <c r="M52" i="8"/>
  <c r="O51" i="8"/>
  <c r="N51" i="8"/>
  <c r="M51" i="8"/>
  <c r="K54" i="8"/>
  <c r="J54" i="8"/>
  <c r="K53" i="8"/>
  <c r="J53" i="8"/>
  <c r="K52" i="8"/>
  <c r="J52" i="8"/>
  <c r="K51" i="8"/>
  <c r="J51" i="8"/>
  <c r="H56" i="8"/>
  <c r="G56" i="8"/>
  <c r="H55" i="8"/>
  <c r="G55" i="8"/>
  <c r="H54" i="8"/>
  <c r="G54" i="8"/>
  <c r="H53" i="8"/>
  <c r="G53" i="8"/>
  <c r="H52" i="8"/>
  <c r="G52" i="8"/>
  <c r="H51" i="8"/>
  <c r="G51" i="8"/>
  <c r="E58" i="8"/>
  <c r="D58" i="8"/>
  <c r="E57" i="8"/>
  <c r="D57" i="8"/>
  <c r="E56" i="8"/>
  <c r="D56" i="8"/>
  <c r="E55" i="8"/>
  <c r="D55" i="8"/>
  <c r="E54" i="8"/>
  <c r="D54" i="8"/>
  <c r="E53" i="8"/>
  <c r="D53" i="8"/>
  <c r="E52" i="8"/>
  <c r="D52" i="8"/>
  <c r="E51" i="8"/>
  <c r="D51" i="8"/>
  <c r="B56" i="8"/>
  <c r="A56" i="8"/>
  <c r="B55" i="8"/>
  <c r="A55" i="8"/>
  <c r="B54" i="8"/>
  <c r="A54" i="8"/>
  <c r="B53" i="8"/>
  <c r="A53" i="8"/>
  <c r="B52" i="8"/>
  <c r="A52" i="8"/>
  <c r="B51" i="8"/>
  <c r="A51" i="8"/>
  <c r="L21" i="4"/>
  <c r="K21" i="4"/>
  <c r="I21" i="4"/>
  <c r="H21" i="4"/>
  <c r="M21" i="4" s="1"/>
  <c r="G21" i="4"/>
  <c r="L20" i="4"/>
  <c r="K20" i="4"/>
  <c r="I20" i="4"/>
  <c r="H20" i="4"/>
  <c r="M20" i="4" s="1"/>
  <c r="G20" i="4"/>
  <c r="L19" i="4"/>
  <c r="K19" i="4"/>
  <c r="I19" i="4"/>
  <c r="H19" i="4"/>
  <c r="M19" i="4" s="1"/>
  <c r="G19" i="4"/>
  <c r="L18" i="4"/>
  <c r="K18" i="4"/>
  <c r="I18" i="4"/>
  <c r="H18" i="4"/>
  <c r="M18" i="4" s="1"/>
  <c r="G18" i="4"/>
  <c r="L17" i="4"/>
  <c r="K17" i="4"/>
  <c r="I17" i="4"/>
  <c r="H17" i="4"/>
  <c r="G17" i="4"/>
  <c r="L16" i="4"/>
  <c r="K16" i="4"/>
  <c r="I16" i="4"/>
  <c r="H16" i="4"/>
  <c r="M16" i="4" s="1"/>
  <c r="G16" i="4"/>
  <c r="L15" i="4"/>
  <c r="K15" i="4"/>
  <c r="I15" i="4"/>
  <c r="H15" i="4"/>
  <c r="M15" i="4" s="1"/>
  <c r="G15" i="4"/>
  <c r="L14" i="4"/>
  <c r="K14" i="4"/>
  <c r="I14" i="4"/>
  <c r="H14" i="4"/>
  <c r="M14" i="4" s="1"/>
  <c r="G14" i="4"/>
  <c r="L13" i="4"/>
  <c r="K13" i="4"/>
  <c r="I13" i="4"/>
  <c r="H13" i="4"/>
  <c r="M13" i="4" s="1"/>
  <c r="G13" i="4"/>
  <c r="L12" i="4"/>
  <c r="K12" i="4"/>
  <c r="I12" i="4"/>
  <c r="H12" i="4"/>
  <c r="M12" i="4" s="1"/>
  <c r="G12" i="4"/>
  <c r="L11" i="4"/>
  <c r="K11" i="4"/>
  <c r="I11" i="4"/>
  <c r="H11" i="4"/>
  <c r="M11" i="4" s="1"/>
  <c r="G11" i="4"/>
  <c r="L10" i="4"/>
  <c r="K10" i="4"/>
  <c r="I10" i="4"/>
  <c r="H10" i="4"/>
  <c r="M10" i="4" s="1"/>
  <c r="G10" i="4"/>
  <c r="L9" i="4"/>
  <c r="K9" i="4"/>
  <c r="I9" i="4"/>
  <c r="H9" i="4"/>
  <c r="G9" i="4"/>
  <c r="L8" i="4"/>
  <c r="K8" i="4"/>
  <c r="I8" i="4"/>
  <c r="H8" i="4"/>
  <c r="M8" i="4" s="1"/>
  <c r="G8" i="4"/>
  <c r="L7" i="4"/>
  <c r="K7" i="4"/>
  <c r="I7" i="4"/>
  <c r="H7" i="4"/>
  <c r="M7" i="4" s="1"/>
  <c r="G7" i="4"/>
  <c r="L6" i="4"/>
  <c r="K6" i="4"/>
  <c r="I6" i="4"/>
  <c r="H6" i="4"/>
  <c r="M6" i="4" s="1"/>
  <c r="G6" i="4"/>
  <c r="L5" i="4"/>
  <c r="K5" i="4"/>
  <c r="I5" i="4"/>
  <c r="H5" i="4"/>
  <c r="M5" i="4" s="1"/>
  <c r="G5" i="4"/>
  <c r="L4" i="4"/>
  <c r="K4" i="4"/>
  <c r="I4" i="4"/>
  <c r="H4" i="4"/>
  <c r="M4" i="4" s="1"/>
  <c r="G4" i="4"/>
  <c r="L3" i="4"/>
  <c r="K3" i="4"/>
  <c r="I3" i="4"/>
  <c r="H3" i="4"/>
  <c r="G3" i="4"/>
  <c r="L2" i="4"/>
  <c r="K2" i="4"/>
  <c r="I2" i="4"/>
  <c r="H2" i="4"/>
  <c r="M2" i="4" s="1"/>
  <c r="G2" i="4"/>
  <c r="K221" i="3"/>
  <c r="K209" i="3"/>
  <c r="K208" i="3"/>
  <c r="K207" i="3"/>
  <c r="K206" i="3"/>
  <c r="K205" i="3"/>
  <c r="K204" i="3"/>
  <c r="K203" i="3"/>
  <c r="K202" i="3"/>
  <c r="K201" i="3"/>
  <c r="K200" i="3"/>
  <c r="K199" i="3"/>
  <c r="K198" i="3"/>
  <c r="K197" i="3"/>
  <c r="K196" i="3"/>
  <c r="K195" i="3"/>
  <c r="K194" i="3"/>
  <c r="K193" i="3"/>
  <c r="K192" i="3"/>
  <c r="K191" i="3"/>
  <c r="K190" i="3"/>
  <c r="K189" i="3"/>
  <c r="K188" i="3"/>
  <c r="K187" i="3"/>
  <c r="K186" i="3"/>
  <c r="K185" i="3"/>
  <c r="K184" i="3"/>
  <c r="K183" i="3"/>
  <c r="K182" i="3"/>
  <c r="K181" i="3"/>
  <c r="K180" i="3"/>
  <c r="K179" i="3"/>
  <c r="K178" i="3"/>
  <c r="K177" i="3"/>
  <c r="K176" i="3"/>
  <c r="K175" i="3"/>
  <c r="K174" i="3"/>
  <c r="K173" i="3"/>
  <c r="K172" i="3"/>
  <c r="K171" i="3"/>
  <c r="K170" i="3"/>
  <c r="K169" i="3"/>
  <c r="K168" i="3"/>
  <c r="K167" i="3"/>
  <c r="K166" i="3"/>
  <c r="K165" i="3"/>
  <c r="K164" i="3"/>
  <c r="K163" i="3"/>
  <c r="K162" i="3"/>
  <c r="K161" i="3"/>
  <c r="K160" i="3"/>
  <c r="K159" i="3"/>
  <c r="K158" i="3"/>
  <c r="K157" i="3"/>
  <c r="K156" i="3"/>
  <c r="K155" i="3"/>
  <c r="K154" i="3"/>
  <c r="K153" i="3"/>
  <c r="K152" i="3"/>
  <c r="K151" i="3"/>
  <c r="K150" i="3"/>
  <c r="K149" i="3"/>
  <c r="K148" i="3"/>
  <c r="K147" i="3"/>
  <c r="K146" i="3"/>
  <c r="K145" i="3"/>
  <c r="K144" i="3"/>
  <c r="K143" i="3"/>
  <c r="K142" i="3"/>
  <c r="K141" i="3"/>
  <c r="K140" i="3"/>
  <c r="K139" i="3"/>
  <c r="K138" i="3"/>
  <c r="K137" i="3"/>
  <c r="K136" i="3"/>
  <c r="K135" i="3"/>
  <c r="K134" i="3"/>
  <c r="K133" i="3"/>
  <c r="K132" i="3"/>
  <c r="K131" i="3"/>
  <c r="K130" i="3"/>
  <c r="K129" i="3"/>
  <c r="K128" i="3"/>
  <c r="K127" i="3"/>
  <c r="K126" i="3"/>
  <c r="K125" i="3"/>
  <c r="K124" i="3"/>
  <c r="K123" i="3"/>
  <c r="K122" i="3"/>
  <c r="K121" i="3"/>
  <c r="K120" i="3"/>
  <c r="K119" i="3"/>
  <c r="K118" i="3"/>
  <c r="K117" i="3"/>
  <c r="K116" i="3"/>
  <c r="K115" i="3"/>
  <c r="K114" i="3"/>
  <c r="K113" i="3"/>
  <c r="K112" i="3"/>
  <c r="K111" i="3"/>
  <c r="K110" i="3"/>
  <c r="K109" i="3"/>
  <c r="K108" i="3"/>
  <c r="K107" i="3"/>
  <c r="K106" i="3"/>
  <c r="K105" i="3"/>
  <c r="K104" i="3"/>
  <c r="K103" i="3"/>
  <c r="K102" i="3"/>
  <c r="K101" i="3"/>
  <c r="K100" i="3"/>
  <c r="K99" i="3"/>
  <c r="K98" i="3"/>
  <c r="K97" i="3"/>
  <c r="K96" i="3"/>
  <c r="K95" i="3"/>
  <c r="K94" i="3"/>
  <c r="K93" i="3"/>
  <c r="K92" i="3"/>
  <c r="K91" i="3"/>
  <c r="K90" i="3"/>
  <c r="K89" i="3"/>
  <c r="K88" i="3"/>
  <c r="K87" i="3"/>
  <c r="K86" i="3"/>
  <c r="K85" i="3"/>
  <c r="K84" i="3"/>
  <c r="K83" i="3"/>
  <c r="K82" i="3"/>
  <c r="K81" i="3"/>
  <c r="K80" i="3"/>
  <c r="K79" i="3"/>
  <c r="K78" i="3"/>
  <c r="K77" i="3"/>
  <c r="K76" i="3"/>
  <c r="K75" i="3"/>
  <c r="K74" i="3"/>
  <c r="K73" i="3"/>
  <c r="K72" i="3"/>
  <c r="K71" i="3"/>
  <c r="K70" i="3"/>
  <c r="K69" i="3"/>
  <c r="K68" i="3"/>
  <c r="K67" i="3"/>
  <c r="K66" i="3"/>
  <c r="K65" i="3"/>
  <c r="K64" i="3"/>
  <c r="K63" i="3"/>
  <c r="K62" i="3"/>
  <c r="K61" i="3"/>
  <c r="K60" i="3"/>
  <c r="K59" i="3"/>
  <c r="K58" i="3"/>
  <c r="K57" i="3"/>
  <c r="K56" i="3"/>
  <c r="K55" i="3"/>
  <c r="K54" i="3"/>
  <c r="K53" i="3"/>
  <c r="K52" i="3"/>
  <c r="K51" i="3"/>
  <c r="K50" i="3"/>
  <c r="K49" i="3"/>
  <c r="K48" i="3"/>
  <c r="K47" i="3"/>
  <c r="K46" i="3"/>
  <c r="K45" i="3"/>
  <c r="K44" i="3"/>
  <c r="K43" i="3"/>
  <c r="K42" i="3"/>
  <c r="K41" i="3"/>
  <c r="K40" i="3"/>
  <c r="K39" i="3"/>
  <c r="K38" i="3"/>
  <c r="K37" i="3"/>
  <c r="K36" i="3"/>
  <c r="K35" i="3"/>
  <c r="K34" i="3"/>
  <c r="K33" i="3"/>
  <c r="K32" i="3"/>
  <c r="K31" i="3"/>
  <c r="K30" i="3"/>
  <c r="K29" i="3"/>
  <c r="K28" i="3"/>
  <c r="K27" i="3"/>
  <c r="K26" i="3"/>
  <c r="K25" i="3"/>
  <c r="K24" i="3"/>
  <c r="K23" i="3"/>
  <c r="K22" i="3"/>
  <c r="K21" i="3"/>
  <c r="K20" i="3"/>
  <c r="K19" i="3"/>
  <c r="K18" i="3"/>
  <c r="K17" i="3"/>
  <c r="K16" i="3"/>
  <c r="K15" i="3"/>
  <c r="K14" i="3"/>
  <c r="K13" i="3"/>
  <c r="K12" i="3"/>
  <c r="K11" i="3"/>
  <c r="K10" i="3"/>
  <c r="K9" i="3"/>
  <c r="K8" i="3"/>
  <c r="K7" i="3"/>
  <c r="K6" i="3"/>
  <c r="K5" i="3"/>
  <c r="K4" i="3"/>
  <c r="K3" i="3"/>
  <c r="K2" i="3"/>
  <c r="AF7" i="9"/>
  <c r="AF5" i="9"/>
  <c r="AF3" i="9"/>
  <c r="AF2" i="9"/>
  <c r="AF6" i="9"/>
  <c r="Z210" i="3" l="1"/>
  <c r="V210" i="3"/>
  <c r="W210" i="3"/>
  <c r="X210" i="3"/>
  <c r="Y210" i="3"/>
  <c r="T213" i="3"/>
  <c r="U212" i="3"/>
  <c r="V212" i="3" s="1"/>
  <c r="U211" i="3"/>
  <c r="W211" i="3" s="1"/>
  <c r="X212" i="3"/>
  <c r="W212" i="3"/>
  <c r="Y212" i="3"/>
  <c r="Z212" i="3"/>
  <c r="U213" i="3"/>
  <c r="V213" i="3" s="1"/>
  <c r="Z213" i="3"/>
  <c r="T214" i="3"/>
  <c r="T215" i="3"/>
  <c r="U215" i="3" s="1"/>
  <c r="U214" i="3"/>
  <c r="X214" i="3" s="1"/>
  <c r="Y214" i="3"/>
  <c r="T216" i="3"/>
  <c r="U216" i="3" s="1"/>
  <c r="T217" i="3"/>
  <c r="U217" i="3" s="1"/>
  <c r="X217" i="3" s="1"/>
  <c r="T219" i="3"/>
  <c r="U219" i="3" s="1"/>
  <c r="T218" i="3"/>
  <c r="U218" i="3"/>
  <c r="U220" i="3"/>
  <c r="W220" i="3" s="1"/>
  <c r="T207" i="3"/>
  <c r="U207" i="3" s="1"/>
  <c r="V207" i="3" s="1"/>
  <c r="T195" i="3"/>
  <c r="U195" i="3" s="1"/>
  <c r="Z195" i="3" s="1"/>
  <c r="T171" i="3"/>
  <c r="U171" i="3" s="1"/>
  <c r="Z171" i="3" s="1"/>
  <c r="T159" i="3"/>
  <c r="U159" i="3" s="1"/>
  <c r="X159" i="3" s="1"/>
  <c r="T147" i="3"/>
  <c r="U147" i="3" s="1"/>
  <c r="X147" i="3" s="1"/>
  <c r="T135" i="3"/>
  <c r="U135" i="3" s="1"/>
  <c r="Y135" i="3" s="1"/>
  <c r="T111" i="3"/>
  <c r="U111" i="3" s="1"/>
  <c r="Y111" i="3" s="1"/>
  <c r="T99" i="3"/>
  <c r="U99" i="3" s="1"/>
  <c r="W99" i="3" s="1"/>
  <c r="T87" i="3"/>
  <c r="U87" i="3" s="1"/>
  <c r="Z87" i="3" s="1"/>
  <c r="T75" i="3"/>
  <c r="U75" i="3" s="1"/>
  <c r="Y75" i="3" s="1"/>
  <c r="T63" i="3"/>
  <c r="U63" i="3" s="1"/>
  <c r="Y63" i="3" s="1"/>
  <c r="T51" i="3"/>
  <c r="U51" i="3" s="1"/>
  <c r="Z51" i="3" s="1"/>
  <c r="T27" i="3"/>
  <c r="U27" i="3" s="1"/>
  <c r="T15" i="3"/>
  <c r="U15" i="3" s="1"/>
  <c r="V15" i="3" s="1"/>
  <c r="T188" i="3"/>
  <c r="U188" i="3" s="1"/>
  <c r="W188" i="3" s="1"/>
  <c r="T164" i="3"/>
  <c r="U164" i="3" s="1"/>
  <c r="W164" i="3" s="1"/>
  <c r="T152" i="3"/>
  <c r="U152" i="3" s="1"/>
  <c r="W152" i="3" s="1"/>
  <c r="T128" i="3"/>
  <c r="U128" i="3" s="1"/>
  <c r="Z128" i="3" s="1"/>
  <c r="T104" i="3"/>
  <c r="U104" i="3" s="1"/>
  <c r="X104" i="3" s="1"/>
  <c r="T92" i="3"/>
  <c r="U92" i="3" s="1"/>
  <c r="W92" i="3" s="1"/>
  <c r="T68" i="3"/>
  <c r="U68" i="3" s="1"/>
  <c r="V68" i="3" s="1"/>
  <c r="T44" i="3"/>
  <c r="U44" i="3" s="1"/>
  <c r="T20" i="3"/>
  <c r="U20" i="3" s="1"/>
  <c r="X20" i="3" s="1"/>
  <c r="T8" i="3"/>
  <c r="U8" i="3" s="1"/>
  <c r="Z8" i="3" s="1"/>
  <c r="T206" i="3"/>
  <c r="U206" i="3" s="1"/>
  <c r="Z206" i="3" s="1"/>
  <c r="T194" i="3"/>
  <c r="U194" i="3" s="1"/>
  <c r="Z194" i="3" s="1"/>
  <c r="T170" i="3"/>
  <c r="U170" i="3" s="1"/>
  <c r="X170" i="3" s="1"/>
  <c r="T158" i="3"/>
  <c r="U158" i="3" s="1"/>
  <c r="W158" i="3" s="1"/>
  <c r="T146" i="3"/>
  <c r="U146" i="3" s="1"/>
  <c r="Y146" i="3" s="1"/>
  <c r="T134" i="3"/>
  <c r="U134" i="3" s="1"/>
  <c r="V134" i="3" s="1"/>
  <c r="T110" i="3"/>
  <c r="U110" i="3" s="1"/>
  <c r="Z110" i="3" s="1"/>
  <c r="T98" i="3"/>
  <c r="U98" i="3" s="1"/>
  <c r="Z98" i="3" s="1"/>
  <c r="T86" i="3"/>
  <c r="U86" i="3" s="1"/>
  <c r="X86" i="3" s="1"/>
  <c r="T74" i="3"/>
  <c r="U74" i="3" s="1"/>
  <c r="Z74" i="3" s="1"/>
  <c r="T62" i="3"/>
  <c r="U62" i="3" s="1"/>
  <c r="Y62" i="3" s="1"/>
  <c r="T50" i="3"/>
  <c r="U50" i="3" s="1"/>
  <c r="X50" i="3" s="1"/>
  <c r="T26" i="3"/>
  <c r="U26" i="3" s="1"/>
  <c r="Y26" i="3" s="1"/>
  <c r="T14" i="3"/>
  <c r="U14" i="3" s="1"/>
  <c r="W14" i="3" s="1"/>
  <c r="T187" i="3"/>
  <c r="U187" i="3" s="1"/>
  <c r="W187" i="3" s="1"/>
  <c r="T163" i="3"/>
  <c r="U163" i="3" s="1"/>
  <c r="V163" i="3" s="1"/>
  <c r="T151" i="3"/>
  <c r="U151" i="3" s="1"/>
  <c r="W151" i="3" s="1"/>
  <c r="T127" i="3"/>
  <c r="U127" i="3" s="1"/>
  <c r="Z127" i="3" s="1"/>
  <c r="T103" i="3"/>
  <c r="U103" i="3" s="1"/>
  <c r="X103" i="3" s="1"/>
  <c r="T91" i="3"/>
  <c r="U91" i="3" s="1"/>
  <c r="T67" i="3"/>
  <c r="U67" i="3" s="1"/>
  <c r="W67" i="3" s="1"/>
  <c r="T43" i="3"/>
  <c r="U43" i="3" s="1"/>
  <c r="V43" i="3" s="1"/>
  <c r="T19" i="3"/>
  <c r="U19" i="3" s="1"/>
  <c r="X19" i="3" s="1"/>
  <c r="T7" i="3"/>
  <c r="U7" i="3" s="1"/>
  <c r="Z7" i="3" s="1"/>
  <c r="T221" i="3"/>
  <c r="U221" i="3" s="1"/>
  <c r="X221" i="3" s="1"/>
  <c r="T186" i="3"/>
  <c r="U186" i="3" s="1"/>
  <c r="W186" i="3" s="1"/>
  <c r="T162" i="3"/>
  <c r="U162" i="3" s="1"/>
  <c r="Z162" i="3" s="1"/>
  <c r="T150" i="3"/>
  <c r="U150" i="3" s="1"/>
  <c r="Y150" i="3" s="1"/>
  <c r="T126" i="3"/>
  <c r="U126" i="3" s="1"/>
  <c r="Z126" i="3" s="1"/>
  <c r="T102" i="3"/>
  <c r="U102" i="3" s="1"/>
  <c r="X102" i="3" s="1"/>
  <c r="T90" i="3"/>
  <c r="U90" i="3" s="1"/>
  <c r="X90" i="3" s="1"/>
  <c r="T66" i="3"/>
  <c r="U66" i="3" s="1"/>
  <c r="V66" i="3" s="1"/>
  <c r="T42" i="3"/>
  <c r="U42" i="3" s="1"/>
  <c r="X42" i="3" s="1"/>
  <c r="T18" i="3"/>
  <c r="U18" i="3" s="1"/>
  <c r="X18" i="3" s="1"/>
  <c r="T6" i="3"/>
  <c r="U6" i="3" s="1"/>
  <c r="Z6" i="3" s="1"/>
  <c r="T161" i="3"/>
  <c r="U161" i="3" s="1"/>
  <c r="W161" i="3" s="1"/>
  <c r="T101" i="3"/>
  <c r="U101" i="3" s="1"/>
  <c r="T41" i="3"/>
  <c r="U41" i="3" s="1"/>
  <c r="V41" i="3" s="1"/>
  <c r="T185" i="3"/>
  <c r="U185" i="3" s="1"/>
  <c r="X185" i="3" s="1"/>
  <c r="T125" i="3"/>
  <c r="U125" i="3" s="1"/>
  <c r="Y125" i="3" s="1"/>
  <c r="T17" i="3"/>
  <c r="U17" i="3" s="1"/>
  <c r="V17" i="3" s="1"/>
  <c r="T160" i="3"/>
  <c r="U160" i="3" s="1"/>
  <c r="X160" i="3" s="1"/>
  <c r="T16" i="3"/>
  <c r="U16" i="3" s="1"/>
  <c r="T208" i="3"/>
  <c r="U208" i="3" s="1"/>
  <c r="Y208" i="3" s="1"/>
  <c r="T124" i="3"/>
  <c r="U124" i="3" s="1"/>
  <c r="Z124" i="3" s="1"/>
  <c r="T184" i="3"/>
  <c r="U184" i="3" s="1"/>
  <c r="V184" i="3" s="1"/>
  <c r="T100" i="3"/>
  <c r="U100" i="3" s="1"/>
  <c r="W100" i="3" s="1"/>
  <c r="T40" i="3"/>
  <c r="U40" i="3" s="1"/>
  <c r="Y40" i="3" s="1"/>
  <c r="T64" i="3"/>
  <c r="U64" i="3" s="1"/>
  <c r="T182" i="3"/>
  <c r="U182" i="3" s="1"/>
  <c r="V182" i="3" s="1"/>
  <c r="T122" i="3"/>
  <c r="U122" i="3" s="1"/>
  <c r="V122" i="3" s="1"/>
  <c r="T183" i="3"/>
  <c r="U183" i="3" s="1"/>
  <c r="Z183" i="3" s="1"/>
  <c r="T123" i="3"/>
  <c r="U123" i="3" s="1"/>
  <c r="X123" i="3" s="1"/>
  <c r="T38" i="3"/>
  <c r="U38" i="3" s="1"/>
  <c r="T39" i="3"/>
  <c r="U39" i="3" s="1"/>
  <c r="Z39" i="3" s="1"/>
  <c r="T3" i="3"/>
  <c r="U3" i="3" s="1"/>
  <c r="X3" i="3" s="1"/>
  <c r="T2" i="3"/>
  <c r="T200" i="3"/>
  <c r="U200" i="3" s="1"/>
  <c r="Y200" i="3" s="1"/>
  <c r="T176" i="3"/>
  <c r="U176" i="3" s="1"/>
  <c r="Y176" i="3" s="1"/>
  <c r="T140" i="3"/>
  <c r="U140" i="3" s="1"/>
  <c r="X140" i="3" s="1"/>
  <c r="T116" i="3"/>
  <c r="U116" i="3" s="1"/>
  <c r="T80" i="3"/>
  <c r="U80" i="3" s="1"/>
  <c r="Z80" i="3" s="1"/>
  <c r="T56" i="3"/>
  <c r="U56" i="3" s="1"/>
  <c r="W56" i="3" s="1"/>
  <c r="T32" i="3"/>
  <c r="U32" i="3" s="1"/>
  <c r="X32" i="3" s="1"/>
  <c r="T79" i="3"/>
  <c r="U79" i="3" s="1"/>
  <c r="V79" i="3" s="1"/>
  <c r="T31" i="3"/>
  <c r="U31" i="3" s="1"/>
  <c r="T198" i="3"/>
  <c r="U198" i="3" s="1"/>
  <c r="T174" i="3"/>
  <c r="U174" i="3" s="1"/>
  <c r="Y174" i="3" s="1"/>
  <c r="T138" i="3"/>
  <c r="U138" i="3" s="1"/>
  <c r="Z138" i="3" s="1"/>
  <c r="T114" i="3"/>
  <c r="U114" i="3" s="1"/>
  <c r="T78" i="3"/>
  <c r="U78" i="3" s="1"/>
  <c r="T54" i="3"/>
  <c r="U54" i="3" s="1"/>
  <c r="T30" i="3"/>
  <c r="U30" i="3" s="1"/>
  <c r="W30" i="3" s="1"/>
  <c r="T199" i="3"/>
  <c r="U199" i="3" s="1"/>
  <c r="X199" i="3" s="1"/>
  <c r="T175" i="3"/>
  <c r="U175" i="3" s="1"/>
  <c r="X175" i="3" s="1"/>
  <c r="T139" i="3"/>
  <c r="U139" i="3" s="1"/>
  <c r="X139" i="3" s="1"/>
  <c r="T209" i="3"/>
  <c r="U209" i="3" s="1"/>
  <c r="T197" i="3"/>
  <c r="U197" i="3" s="1"/>
  <c r="T173" i="3"/>
  <c r="U173" i="3" s="1"/>
  <c r="V173" i="3" s="1"/>
  <c r="T149" i="3"/>
  <c r="U149" i="3" s="1"/>
  <c r="T137" i="3"/>
  <c r="U137" i="3" s="1"/>
  <c r="Y137" i="3" s="1"/>
  <c r="T113" i="3"/>
  <c r="U113" i="3" s="1"/>
  <c r="Z113" i="3" s="1"/>
  <c r="T89" i="3"/>
  <c r="U89" i="3" s="1"/>
  <c r="Z89" i="3" s="1"/>
  <c r="T77" i="3"/>
  <c r="U77" i="3" s="1"/>
  <c r="T65" i="3"/>
  <c r="U65" i="3" s="1"/>
  <c r="X65" i="3" s="1"/>
  <c r="T53" i="3"/>
  <c r="U53" i="3" s="1"/>
  <c r="W53" i="3" s="1"/>
  <c r="T29" i="3"/>
  <c r="U29" i="3" s="1"/>
  <c r="Y29" i="3" s="1"/>
  <c r="T5" i="3"/>
  <c r="U5" i="3" s="1"/>
  <c r="T115" i="3"/>
  <c r="U115" i="3" s="1"/>
  <c r="T55" i="3"/>
  <c r="U55" i="3" s="1"/>
  <c r="W55" i="3" s="1"/>
  <c r="T196" i="3"/>
  <c r="U196" i="3" s="1"/>
  <c r="W196" i="3" s="1"/>
  <c r="T172" i="3"/>
  <c r="U172" i="3" s="1"/>
  <c r="T148" i="3"/>
  <c r="U148" i="3" s="1"/>
  <c r="W148" i="3" s="1"/>
  <c r="T136" i="3"/>
  <c r="U136" i="3" s="1"/>
  <c r="W136" i="3" s="1"/>
  <c r="T112" i="3"/>
  <c r="U112" i="3" s="1"/>
  <c r="Y112" i="3" s="1"/>
  <c r="T88" i="3"/>
  <c r="U88" i="3" s="1"/>
  <c r="V88" i="3" s="1"/>
  <c r="T76" i="3"/>
  <c r="U76" i="3" s="1"/>
  <c r="T52" i="3"/>
  <c r="U52" i="3" s="1"/>
  <c r="T28" i="3"/>
  <c r="U28" i="3" s="1"/>
  <c r="Y28" i="3" s="1"/>
  <c r="T4" i="3"/>
  <c r="U4" i="3" s="1"/>
  <c r="T169" i="3"/>
  <c r="U169" i="3" s="1"/>
  <c r="W169" i="3" s="1"/>
  <c r="T133" i="3"/>
  <c r="U133" i="3" s="1"/>
  <c r="X133" i="3" s="1"/>
  <c r="T97" i="3"/>
  <c r="U97" i="3" s="1"/>
  <c r="T61" i="3"/>
  <c r="U61" i="3" s="1"/>
  <c r="X61" i="3" s="1"/>
  <c r="T13" i="3"/>
  <c r="U13" i="3" s="1"/>
  <c r="V13" i="3" s="1"/>
  <c r="T204" i="3"/>
  <c r="U204" i="3" s="1"/>
  <c r="Y204" i="3" s="1"/>
  <c r="T192" i="3"/>
  <c r="U192" i="3" s="1"/>
  <c r="T180" i="3"/>
  <c r="U180" i="3" s="1"/>
  <c r="V180" i="3" s="1"/>
  <c r="T168" i="3"/>
  <c r="U168" i="3" s="1"/>
  <c r="T156" i="3"/>
  <c r="U156" i="3" s="1"/>
  <c r="Z156" i="3" s="1"/>
  <c r="T144" i="3"/>
  <c r="U144" i="3" s="1"/>
  <c r="W144" i="3" s="1"/>
  <c r="T132" i="3"/>
  <c r="U132" i="3" s="1"/>
  <c r="T120" i="3"/>
  <c r="U120" i="3" s="1"/>
  <c r="Y120" i="3" s="1"/>
  <c r="T108" i="3"/>
  <c r="U108" i="3" s="1"/>
  <c r="W108" i="3" s="1"/>
  <c r="T96" i="3"/>
  <c r="U96" i="3" s="1"/>
  <c r="T84" i="3"/>
  <c r="U84" i="3" s="1"/>
  <c r="X84" i="3" s="1"/>
  <c r="T72" i="3"/>
  <c r="U72" i="3" s="1"/>
  <c r="W72" i="3" s="1"/>
  <c r="T60" i="3"/>
  <c r="U60" i="3" s="1"/>
  <c r="T48" i="3"/>
  <c r="U48" i="3" s="1"/>
  <c r="T36" i="3"/>
  <c r="U36" i="3" s="1"/>
  <c r="T24" i="3"/>
  <c r="U24" i="3" s="1"/>
  <c r="T12" i="3"/>
  <c r="U12" i="3" s="1"/>
  <c r="T181" i="3"/>
  <c r="U181" i="3" s="1"/>
  <c r="T121" i="3"/>
  <c r="U121" i="3" s="1"/>
  <c r="T73" i="3"/>
  <c r="U73" i="3" s="1"/>
  <c r="X73" i="3" s="1"/>
  <c r="T37" i="3"/>
  <c r="U37" i="3" s="1"/>
  <c r="T203" i="3"/>
  <c r="U203" i="3" s="1"/>
  <c r="T191" i="3"/>
  <c r="U191" i="3" s="1"/>
  <c r="X191" i="3" s="1"/>
  <c r="T179" i="3"/>
  <c r="U179" i="3" s="1"/>
  <c r="X179" i="3" s="1"/>
  <c r="T167" i="3"/>
  <c r="U167" i="3" s="1"/>
  <c r="T155" i="3"/>
  <c r="U155" i="3" s="1"/>
  <c r="Z155" i="3" s="1"/>
  <c r="T143" i="3"/>
  <c r="U143" i="3" s="1"/>
  <c r="T131" i="3"/>
  <c r="U131" i="3" s="1"/>
  <c r="Z131" i="3" s="1"/>
  <c r="T119" i="3"/>
  <c r="U119" i="3" s="1"/>
  <c r="T107" i="3"/>
  <c r="U107" i="3" s="1"/>
  <c r="X107" i="3" s="1"/>
  <c r="T95" i="3"/>
  <c r="U95" i="3" s="1"/>
  <c r="T83" i="3"/>
  <c r="U83" i="3" s="1"/>
  <c r="X83" i="3" s="1"/>
  <c r="T71" i="3"/>
  <c r="U71" i="3" s="1"/>
  <c r="W71" i="3" s="1"/>
  <c r="T59" i="3"/>
  <c r="U59" i="3" s="1"/>
  <c r="Y59" i="3" s="1"/>
  <c r="T47" i="3"/>
  <c r="U47" i="3" s="1"/>
  <c r="Z47" i="3" s="1"/>
  <c r="T35" i="3"/>
  <c r="U35" i="3" s="1"/>
  <c r="X35" i="3" s="1"/>
  <c r="T23" i="3"/>
  <c r="U23" i="3" s="1"/>
  <c r="T11" i="3"/>
  <c r="U11" i="3" s="1"/>
  <c r="U2" i="3"/>
  <c r="W2" i="3" s="1"/>
  <c r="T205" i="3"/>
  <c r="U205" i="3" s="1"/>
  <c r="T157" i="3"/>
  <c r="U157" i="3" s="1"/>
  <c r="W157" i="3" s="1"/>
  <c r="T145" i="3"/>
  <c r="U145" i="3" s="1"/>
  <c r="V145" i="3" s="1"/>
  <c r="T85" i="3"/>
  <c r="U85" i="3" s="1"/>
  <c r="W85" i="3" s="1"/>
  <c r="T49" i="3"/>
  <c r="U49" i="3" s="1"/>
  <c r="W49" i="3" s="1"/>
  <c r="T25" i="3"/>
  <c r="U25" i="3" s="1"/>
  <c r="V25" i="3" s="1"/>
  <c r="T202" i="3"/>
  <c r="U202" i="3" s="1"/>
  <c r="Z202" i="3" s="1"/>
  <c r="T190" i="3"/>
  <c r="U190" i="3" s="1"/>
  <c r="Y190" i="3" s="1"/>
  <c r="T178" i="3"/>
  <c r="U178" i="3" s="1"/>
  <c r="Y178" i="3" s="1"/>
  <c r="T166" i="3"/>
  <c r="U166" i="3" s="1"/>
  <c r="T154" i="3"/>
  <c r="U154" i="3" s="1"/>
  <c r="Y154" i="3" s="1"/>
  <c r="T142" i="3"/>
  <c r="U142" i="3" s="1"/>
  <c r="W142" i="3" s="1"/>
  <c r="T130" i="3"/>
  <c r="U130" i="3" s="1"/>
  <c r="V130" i="3" s="1"/>
  <c r="T118" i="3"/>
  <c r="U118" i="3" s="1"/>
  <c r="T106" i="3"/>
  <c r="U106" i="3" s="1"/>
  <c r="X106" i="3" s="1"/>
  <c r="T94" i="3"/>
  <c r="U94" i="3" s="1"/>
  <c r="T82" i="3"/>
  <c r="U82" i="3" s="1"/>
  <c r="Y82" i="3" s="1"/>
  <c r="T70" i="3"/>
  <c r="U70" i="3" s="1"/>
  <c r="V70" i="3" s="1"/>
  <c r="T58" i="3"/>
  <c r="U58" i="3" s="1"/>
  <c r="Y58" i="3" s="1"/>
  <c r="T46" i="3"/>
  <c r="U46" i="3" s="1"/>
  <c r="V46" i="3" s="1"/>
  <c r="T34" i="3"/>
  <c r="U34" i="3" s="1"/>
  <c r="Z34" i="3" s="1"/>
  <c r="T22" i="3"/>
  <c r="U22" i="3" s="1"/>
  <c r="X22" i="3" s="1"/>
  <c r="T10" i="3"/>
  <c r="U10" i="3" s="1"/>
  <c r="Y10" i="3" s="1"/>
  <c r="T193" i="3"/>
  <c r="U193" i="3" s="1"/>
  <c r="Z193" i="3" s="1"/>
  <c r="T109" i="3"/>
  <c r="U109" i="3" s="1"/>
  <c r="Z109" i="3" s="1"/>
  <c r="T201" i="3"/>
  <c r="U201" i="3" s="1"/>
  <c r="W201" i="3" s="1"/>
  <c r="T189" i="3"/>
  <c r="U189" i="3" s="1"/>
  <c r="T177" i="3"/>
  <c r="U177" i="3" s="1"/>
  <c r="X177" i="3" s="1"/>
  <c r="T165" i="3"/>
  <c r="U165" i="3" s="1"/>
  <c r="T153" i="3"/>
  <c r="U153" i="3" s="1"/>
  <c r="T141" i="3"/>
  <c r="U141" i="3" s="1"/>
  <c r="T129" i="3"/>
  <c r="U129" i="3" s="1"/>
  <c r="T117" i="3"/>
  <c r="U117" i="3" s="1"/>
  <c r="W117" i="3" s="1"/>
  <c r="T105" i="3"/>
  <c r="U105" i="3" s="1"/>
  <c r="T93" i="3"/>
  <c r="U93" i="3" s="1"/>
  <c r="Y93" i="3" s="1"/>
  <c r="T81" i="3"/>
  <c r="U81" i="3" s="1"/>
  <c r="T69" i="3"/>
  <c r="U69" i="3" s="1"/>
  <c r="T57" i="3"/>
  <c r="U57" i="3" s="1"/>
  <c r="T45" i="3"/>
  <c r="U45" i="3" s="1"/>
  <c r="T33" i="3"/>
  <c r="U33" i="3" s="1"/>
  <c r="W33" i="3" s="1"/>
  <c r="T21" i="3"/>
  <c r="U21" i="3" s="1"/>
  <c r="T9" i="3"/>
  <c r="U9" i="3" s="1"/>
  <c r="Y9" i="3" s="1"/>
  <c r="J3" i="4"/>
  <c r="J7" i="4"/>
  <c r="J8" i="4"/>
  <c r="J16" i="4"/>
  <c r="J19" i="4"/>
  <c r="J2" i="4"/>
  <c r="J21" i="4"/>
  <c r="AF4" i="9"/>
  <c r="J13" i="4"/>
  <c r="J5" i="4"/>
  <c r="J9" i="4"/>
  <c r="J15" i="4"/>
  <c r="J20" i="4"/>
  <c r="M3" i="4"/>
  <c r="J12" i="4"/>
  <c r="J10" i="4"/>
  <c r="M17" i="4"/>
  <c r="J17" i="4"/>
  <c r="M9" i="4"/>
  <c r="J11" i="4"/>
  <c r="J6" i="4"/>
  <c r="J18" i="4"/>
  <c r="J4" i="4"/>
  <c r="J14" i="4"/>
  <c r="Z211" i="3" l="1"/>
  <c r="Y211" i="3"/>
  <c r="X211" i="3"/>
  <c r="V211" i="3"/>
  <c r="W214" i="3"/>
  <c r="V214" i="3"/>
  <c r="Z214" i="3"/>
  <c r="X213" i="3"/>
  <c r="Y213" i="3"/>
  <c r="W213" i="3"/>
  <c r="Z215" i="3"/>
  <c r="X215" i="3"/>
  <c r="Y215" i="3"/>
  <c r="V215" i="3"/>
  <c r="W215" i="3"/>
  <c r="Z217" i="3"/>
  <c r="V219" i="3"/>
  <c r="Y219" i="3"/>
  <c r="X219" i="3"/>
  <c r="X216" i="3"/>
  <c r="Y216" i="3"/>
  <c r="Z216" i="3"/>
  <c r="V216" i="3"/>
  <c r="W216" i="3"/>
  <c r="Y217" i="3"/>
  <c r="W217" i="3"/>
  <c r="V217" i="3"/>
  <c r="Z219" i="3"/>
  <c r="W219" i="3"/>
  <c r="V220" i="3"/>
  <c r="W195" i="3"/>
  <c r="Z16" i="3"/>
  <c r="W16" i="3"/>
  <c r="X16" i="3"/>
  <c r="Z220" i="3"/>
  <c r="Y220" i="3"/>
  <c r="X220" i="3"/>
  <c r="Y218" i="3"/>
  <c r="X218" i="3"/>
  <c r="Z218" i="3"/>
  <c r="V218" i="3"/>
  <c r="W218" i="3"/>
  <c r="W101" i="3"/>
  <c r="Z101" i="3"/>
  <c r="Z27" i="3"/>
  <c r="W27" i="3"/>
  <c r="X64" i="3"/>
  <c r="W64" i="3"/>
  <c r="X38" i="3"/>
  <c r="W38" i="3"/>
  <c r="V161" i="3"/>
  <c r="V87" i="3"/>
  <c r="W87" i="3"/>
  <c r="V183" i="3"/>
  <c r="Y87" i="3"/>
  <c r="Z15" i="3"/>
  <c r="W74" i="3"/>
  <c r="X87" i="3"/>
  <c r="Y74" i="3"/>
  <c r="Y38" i="3"/>
  <c r="X74" i="3"/>
  <c r="X15" i="3"/>
  <c r="W204" i="3"/>
  <c r="Y16" i="3"/>
  <c r="X111" i="3"/>
  <c r="V62" i="3"/>
  <c r="Y160" i="3"/>
  <c r="V40" i="3"/>
  <c r="Y128" i="3"/>
  <c r="V128" i="3"/>
  <c r="V51" i="3"/>
  <c r="W40" i="3"/>
  <c r="Y104" i="3"/>
  <c r="X124" i="3"/>
  <c r="X40" i="3"/>
  <c r="V188" i="3"/>
  <c r="V160" i="3"/>
  <c r="W128" i="3"/>
  <c r="X184" i="3"/>
  <c r="Y102" i="3"/>
  <c r="W98" i="3"/>
  <c r="W122" i="3"/>
  <c r="X27" i="3"/>
  <c r="W57" i="3"/>
  <c r="X57" i="3"/>
  <c r="Y31" i="3"/>
  <c r="Z31" i="3"/>
  <c r="Y197" i="3"/>
  <c r="W197" i="3"/>
  <c r="W81" i="3"/>
  <c r="X81" i="3"/>
  <c r="V100" i="3"/>
  <c r="W103" i="3"/>
  <c r="Y161" i="3"/>
  <c r="Y86" i="3"/>
  <c r="X151" i="3"/>
  <c r="V101" i="3"/>
  <c r="Z100" i="3"/>
  <c r="Y27" i="3"/>
  <c r="V74" i="3"/>
  <c r="V113" i="3"/>
  <c r="Z136" i="3"/>
  <c r="Y151" i="3"/>
  <c r="W207" i="3"/>
  <c r="Y207" i="3"/>
  <c r="X136" i="3"/>
  <c r="V42" i="3"/>
  <c r="Z207" i="3"/>
  <c r="Z151" i="3"/>
  <c r="X101" i="3"/>
  <c r="V158" i="3"/>
  <c r="V84" i="3"/>
  <c r="V65" i="3"/>
  <c r="X51" i="3"/>
  <c r="V38" i="3"/>
  <c r="Z75" i="3"/>
  <c r="W51" i="3"/>
  <c r="W42" i="3"/>
  <c r="V61" i="3"/>
  <c r="V16" i="3"/>
  <c r="V124" i="3"/>
  <c r="V86" i="3"/>
  <c r="V151" i="3"/>
  <c r="W124" i="3"/>
  <c r="X158" i="3"/>
  <c r="X100" i="3"/>
  <c r="W19" i="3"/>
  <c r="Y51" i="3"/>
  <c r="X207" i="3"/>
  <c r="V50" i="3"/>
  <c r="Z63" i="3"/>
  <c r="V169" i="3"/>
  <c r="W26" i="3"/>
  <c r="Z152" i="3"/>
  <c r="Y158" i="3"/>
  <c r="X134" i="3"/>
  <c r="V102" i="3"/>
  <c r="V99" i="3"/>
  <c r="V27" i="3"/>
  <c r="Z158" i="3"/>
  <c r="Z170" i="3"/>
  <c r="Y132" i="3"/>
  <c r="W132" i="3"/>
  <c r="X54" i="3"/>
  <c r="W54" i="3"/>
  <c r="Z4" i="3"/>
  <c r="V4" i="3"/>
  <c r="Y4" i="3"/>
  <c r="W4" i="3"/>
  <c r="X4" i="3"/>
  <c r="Z78" i="3"/>
  <c r="V78" i="3"/>
  <c r="Y209" i="3"/>
  <c r="Z209" i="3"/>
  <c r="V209" i="3"/>
  <c r="Y203" i="3"/>
  <c r="V203" i="3"/>
  <c r="X203" i="3"/>
  <c r="Z203" i="3"/>
  <c r="X76" i="3"/>
  <c r="W76" i="3"/>
  <c r="Y76" i="3"/>
  <c r="V115" i="3"/>
  <c r="Y115" i="3"/>
  <c r="W115" i="3"/>
  <c r="X115" i="3"/>
  <c r="Y37" i="3"/>
  <c r="V37" i="3"/>
  <c r="W37" i="3"/>
  <c r="W52" i="3"/>
  <c r="X52" i="3"/>
  <c r="V52" i="3"/>
  <c r="Y52" i="3"/>
  <c r="Z52" i="3"/>
  <c r="Y141" i="3"/>
  <c r="W141" i="3"/>
  <c r="Y77" i="3"/>
  <c r="Z77" i="3"/>
  <c r="W77" i="3"/>
  <c r="Y172" i="3"/>
  <c r="V172" i="3"/>
  <c r="Z172" i="3"/>
  <c r="W172" i="3"/>
  <c r="X172" i="3"/>
  <c r="V104" i="3"/>
  <c r="Z148" i="3"/>
  <c r="V31" i="3"/>
  <c r="Y3" i="3"/>
  <c r="X88" i="3"/>
  <c r="Z3" i="3"/>
  <c r="Y68" i="3"/>
  <c r="V195" i="3"/>
  <c r="V92" i="3"/>
  <c r="V112" i="3"/>
  <c r="W31" i="3"/>
  <c r="X41" i="3"/>
  <c r="W125" i="3"/>
  <c r="X112" i="3"/>
  <c r="X206" i="3"/>
  <c r="Z186" i="3"/>
  <c r="W18" i="3"/>
  <c r="W39" i="3"/>
  <c r="X208" i="3"/>
  <c r="Y183" i="3"/>
  <c r="X98" i="3"/>
  <c r="W112" i="3"/>
  <c r="V26" i="3"/>
  <c r="Y41" i="3"/>
  <c r="Z56" i="3"/>
  <c r="Y186" i="3"/>
  <c r="X17" i="3"/>
  <c r="V142" i="3"/>
  <c r="W41" i="3"/>
  <c r="V204" i="3"/>
  <c r="Z147" i="3"/>
  <c r="X39" i="3"/>
  <c r="Z20" i="3"/>
  <c r="X186" i="3"/>
  <c r="Z65" i="3"/>
  <c r="Z64" i="3"/>
  <c r="Y184" i="3"/>
  <c r="V14" i="3"/>
  <c r="X183" i="3"/>
  <c r="Z68" i="3"/>
  <c r="W183" i="3"/>
  <c r="W206" i="3"/>
  <c r="V197" i="3"/>
  <c r="Z92" i="3"/>
  <c r="Y171" i="3"/>
  <c r="Y206" i="3"/>
  <c r="Z18" i="3"/>
  <c r="Y39" i="3"/>
  <c r="V98" i="3"/>
  <c r="X62" i="3"/>
  <c r="Y88" i="3"/>
  <c r="V56" i="3"/>
  <c r="Y65" i="3"/>
  <c r="W17" i="3"/>
  <c r="Y14" i="3"/>
  <c r="W88" i="3"/>
  <c r="W146" i="3"/>
  <c r="V20" i="3"/>
  <c r="Y127" i="3"/>
  <c r="V120" i="3"/>
  <c r="Y17" i="3"/>
  <c r="Y99" i="3"/>
  <c r="Y139" i="3"/>
  <c r="Z197" i="3"/>
  <c r="Z14" i="3"/>
  <c r="Y92" i="3"/>
  <c r="W50" i="3"/>
  <c r="X31" i="3"/>
  <c r="V206" i="3"/>
  <c r="Z41" i="3"/>
  <c r="V221" i="3"/>
  <c r="V148" i="3"/>
  <c r="V185" i="3"/>
  <c r="Y15" i="3"/>
  <c r="V18" i="3"/>
  <c r="V186" i="3"/>
  <c r="Y148" i="3"/>
  <c r="Y50" i="3"/>
  <c r="Y98" i="3"/>
  <c r="W66" i="3"/>
  <c r="X171" i="3"/>
  <c r="X146" i="3"/>
  <c r="X14" i="3"/>
  <c r="V103" i="3"/>
  <c r="Y66" i="3"/>
  <c r="V127" i="3"/>
  <c r="W113" i="3"/>
  <c r="Z103" i="3"/>
  <c r="X99" i="3"/>
  <c r="X67" i="3"/>
  <c r="W139" i="3"/>
  <c r="Y136" i="3"/>
  <c r="Y169" i="3"/>
  <c r="Z38" i="3"/>
  <c r="W104" i="3"/>
  <c r="W65" i="3"/>
  <c r="W171" i="3"/>
  <c r="Y196" i="3"/>
  <c r="X197" i="3"/>
  <c r="Y56" i="3"/>
  <c r="Z185" i="3"/>
  <c r="V171" i="3"/>
  <c r="X56" i="3"/>
  <c r="W185" i="3"/>
  <c r="Y185" i="3"/>
  <c r="Y147" i="3"/>
  <c r="V67" i="3"/>
  <c r="Z67" i="3"/>
  <c r="Z88" i="3"/>
  <c r="Y67" i="3"/>
  <c r="V208" i="3"/>
  <c r="V64" i="3"/>
  <c r="Z134" i="3"/>
  <c r="W134" i="3"/>
  <c r="Y103" i="3"/>
  <c r="Z42" i="3"/>
  <c r="Y19" i="3"/>
  <c r="Y101" i="3"/>
  <c r="X195" i="3"/>
  <c r="W15" i="3"/>
  <c r="Z50" i="3"/>
  <c r="Z112" i="3"/>
  <c r="Y64" i="3"/>
  <c r="X21" i="3"/>
  <c r="Y21" i="3"/>
  <c r="V21" i="3"/>
  <c r="Y121" i="3"/>
  <c r="W121" i="3"/>
  <c r="W168" i="3"/>
  <c r="V168" i="3"/>
  <c r="Y45" i="3"/>
  <c r="X45" i="3"/>
  <c r="Z60" i="3"/>
  <c r="X60" i="3"/>
  <c r="Y69" i="3"/>
  <c r="V69" i="3"/>
  <c r="Z96" i="3"/>
  <c r="V96" i="3"/>
  <c r="W96" i="3"/>
  <c r="X96" i="3"/>
  <c r="Y96" i="3"/>
  <c r="W97" i="3"/>
  <c r="Y97" i="3"/>
  <c r="W95" i="3"/>
  <c r="Z95" i="3"/>
  <c r="V95" i="3"/>
  <c r="X95" i="3"/>
  <c r="X36" i="3"/>
  <c r="Z36" i="3"/>
  <c r="W189" i="3"/>
  <c r="X189" i="3"/>
  <c r="V119" i="3"/>
  <c r="Y119" i="3"/>
  <c r="W119" i="3"/>
  <c r="Z119" i="3"/>
  <c r="X119" i="3"/>
  <c r="V94" i="3"/>
  <c r="W94" i="3"/>
  <c r="Y94" i="3"/>
  <c r="Z94" i="3"/>
  <c r="X94" i="3"/>
  <c r="Z143" i="3"/>
  <c r="Y143" i="3"/>
  <c r="W143" i="3"/>
  <c r="V143" i="3"/>
  <c r="X143" i="3"/>
  <c r="V105" i="3"/>
  <c r="X105" i="3"/>
  <c r="X129" i="3"/>
  <c r="Z129" i="3"/>
  <c r="Y129" i="3"/>
  <c r="V129" i="3"/>
  <c r="X25" i="3"/>
  <c r="V32" i="3"/>
  <c r="W147" i="3"/>
  <c r="Z57" i="3"/>
  <c r="W160" i="3"/>
  <c r="Z70" i="3"/>
  <c r="V132" i="3"/>
  <c r="V135" i="3"/>
  <c r="W107" i="3"/>
  <c r="W58" i="3"/>
  <c r="X193" i="3"/>
  <c r="V28" i="3"/>
  <c r="V72" i="3"/>
  <c r="X7" i="3"/>
  <c r="W159" i="3"/>
  <c r="W126" i="3"/>
  <c r="W182" i="3"/>
  <c r="Z28" i="3"/>
  <c r="W28" i="3"/>
  <c r="W86" i="3"/>
  <c r="X194" i="3"/>
  <c r="X110" i="3"/>
  <c r="Y2" i="3"/>
  <c r="W102" i="3"/>
  <c r="W68" i="3"/>
  <c r="Y187" i="3"/>
  <c r="Y7" i="3"/>
  <c r="X6" i="3"/>
  <c r="W199" i="3"/>
  <c r="Y54" i="3"/>
  <c r="W29" i="3"/>
  <c r="Z161" i="3"/>
  <c r="Y53" i="3"/>
  <c r="Y145" i="3"/>
  <c r="W221" i="3"/>
  <c r="X169" i="3"/>
  <c r="X63" i="3"/>
  <c r="Z123" i="3"/>
  <c r="X75" i="3"/>
  <c r="X142" i="3"/>
  <c r="V152" i="3"/>
  <c r="V136" i="3"/>
  <c r="V146" i="3"/>
  <c r="Y195" i="3"/>
  <c r="X128" i="3"/>
  <c r="W3" i="3"/>
  <c r="Z58" i="3"/>
  <c r="X28" i="3"/>
  <c r="Z160" i="3"/>
  <c r="X26" i="3"/>
  <c r="X8" i="3"/>
  <c r="Y70" i="3"/>
  <c r="X144" i="3"/>
  <c r="V107" i="3"/>
  <c r="W194" i="3"/>
  <c r="V8" i="3"/>
  <c r="Y42" i="3"/>
  <c r="V144" i="3"/>
  <c r="W193" i="3"/>
  <c r="V175" i="3"/>
  <c r="Z2" i="3"/>
  <c r="Y194" i="3"/>
  <c r="V110" i="3"/>
  <c r="Z187" i="3"/>
  <c r="V193" i="3"/>
  <c r="X135" i="3"/>
  <c r="W175" i="3"/>
  <c r="X152" i="3"/>
  <c r="Z99" i="3"/>
  <c r="Z146" i="3"/>
  <c r="W110" i="3"/>
  <c r="Y182" i="3"/>
  <c r="X2" i="3"/>
  <c r="W7" i="3"/>
  <c r="V6" i="3"/>
  <c r="Z84" i="3"/>
  <c r="Z221" i="3"/>
  <c r="X161" i="3"/>
  <c r="V53" i="3"/>
  <c r="V201" i="3"/>
  <c r="V159" i="3"/>
  <c r="V123" i="3"/>
  <c r="W75" i="3"/>
  <c r="Y142" i="3"/>
  <c r="Y110" i="3"/>
  <c r="Y8" i="3"/>
  <c r="Z182" i="3"/>
  <c r="Y134" i="3"/>
  <c r="Y81" i="3"/>
  <c r="W170" i="3"/>
  <c r="Y144" i="3"/>
  <c r="Z204" i="3"/>
  <c r="Z108" i="3"/>
  <c r="W135" i="3"/>
  <c r="X204" i="3"/>
  <c r="Z30" i="3"/>
  <c r="V108" i="3"/>
  <c r="X182" i="3"/>
  <c r="W6" i="3"/>
  <c r="V133" i="3"/>
  <c r="Y126" i="3"/>
  <c r="Z111" i="3"/>
  <c r="Y122" i="3"/>
  <c r="V194" i="3"/>
  <c r="Z26" i="3"/>
  <c r="Y100" i="3"/>
  <c r="X196" i="3"/>
  <c r="X68" i="3"/>
  <c r="Y6" i="3"/>
  <c r="W84" i="3"/>
  <c r="X127" i="3"/>
  <c r="Y18" i="3"/>
  <c r="X209" i="3"/>
  <c r="V125" i="3"/>
  <c r="V141" i="3"/>
  <c r="Z169" i="3"/>
  <c r="Y179" i="3"/>
  <c r="Z159" i="3"/>
  <c r="V111" i="3"/>
  <c r="V63" i="3"/>
  <c r="Y61" i="3"/>
  <c r="X92" i="3"/>
  <c r="Z115" i="3"/>
  <c r="X34" i="3"/>
  <c r="Z76" i="3"/>
  <c r="Z86" i="3"/>
  <c r="Y221" i="3"/>
  <c r="Z40" i="3"/>
  <c r="X148" i="3"/>
  <c r="Z62" i="3"/>
  <c r="Y123" i="3"/>
  <c r="V170" i="3"/>
  <c r="W70" i="3"/>
  <c r="V126" i="3"/>
  <c r="V81" i="3"/>
  <c r="Z107" i="3"/>
  <c r="X164" i="3"/>
  <c r="V147" i="3"/>
  <c r="V58" i="3"/>
  <c r="V2" i="3"/>
  <c r="X122" i="3"/>
  <c r="V7" i="3"/>
  <c r="X70" i="3"/>
  <c r="W123" i="3"/>
  <c r="Z135" i="3"/>
  <c r="Y152" i="3"/>
  <c r="Y84" i="3"/>
  <c r="X53" i="3"/>
  <c r="Y159" i="3"/>
  <c r="V75" i="3"/>
  <c r="Z154" i="3"/>
  <c r="W208" i="3"/>
  <c r="V76" i="3"/>
  <c r="Z122" i="3"/>
  <c r="W62" i="3"/>
  <c r="Y188" i="3"/>
  <c r="W61" i="3"/>
  <c r="W127" i="3"/>
  <c r="W209" i="3"/>
  <c r="X125" i="3"/>
  <c r="Z81" i="3"/>
  <c r="Z61" i="3"/>
  <c r="W111" i="3"/>
  <c r="W63" i="3"/>
  <c r="V3" i="3"/>
  <c r="Z196" i="3"/>
  <c r="V39" i="3"/>
  <c r="Y124" i="3"/>
  <c r="Y170" i="3"/>
  <c r="V196" i="3"/>
  <c r="Y44" i="3"/>
  <c r="W44" i="3"/>
  <c r="V44" i="3"/>
  <c r="X44" i="3"/>
  <c r="Z44" i="3"/>
  <c r="X198" i="3"/>
  <c r="Y198" i="3"/>
  <c r="Z198" i="3"/>
  <c r="V198" i="3"/>
  <c r="W198" i="3"/>
  <c r="W5" i="3"/>
  <c r="X5" i="3"/>
  <c r="Z5" i="3"/>
  <c r="V5" i="3"/>
  <c r="Z91" i="3"/>
  <c r="Y91" i="3"/>
  <c r="W91" i="3"/>
  <c r="X91" i="3"/>
  <c r="V91" i="3"/>
  <c r="V200" i="3"/>
  <c r="W200" i="3"/>
  <c r="X200" i="3"/>
  <c r="Z79" i="3"/>
  <c r="W79" i="3"/>
  <c r="Y79" i="3"/>
  <c r="X79" i="3"/>
  <c r="Z192" i="3"/>
  <c r="W192" i="3"/>
  <c r="V192" i="3"/>
  <c r="Y192" i="3"/>
  <c r="X192" i="3"/>
  <c r="Z145" i="3"/>
  <c r="W145" i="3"/>
  <c r="X145" i="3"/>
  <c r="Z153" i="3"/>
  <c r="V153" i="3"/>
  <c r="Y153" i="3"/>
  <c r="X153" i="3"/>
  <c r="W153" i="3"/>
  <c r="V117" i="3"/>
  <c r="Z117" i="3"/>
  <c r="Y117" i="3"/>
  <c r="X117" i="3"/>
  <c r="X130" i="3"/>
  <c r="Y130" i="3"/>
  <c r="Z130" i="3"/>
  <c r="V177" i="3"/>
  <c r="Y177" i="3"/>
  <c r="Z177" i="3"/>
  <c r="W177" i="3"/>
  <c r="Y5" i="3"/>
  <c r="Y23" i="3"/>
  <c r="X23" i="3"/>
  <c r="V23" i="3"/>
  <c r="Y118" i="3"/>
  <c r="Z118" i="3"/>
  <c r="W118" i="3"/>
  <c r="X118" i="3"/>
  <c r="V118" i="3"/>
  <c r="W165" i="3"/>
  <c r="Y165" i="3"/>
  <c r="X165" i="3"/>
  <c r="Z165" i="3"/>
  <c r="V165" i="3"/>
  <c r="V162" i="3"/>
  <c r="W162" i="3"/>
  <c r="X162" i="3"/>
  <c r="Y162" i="3"/>
  <c r="Z116" i="3"/>
  <c r="Y116" i="3"/>
  <c r="X116" i="3"/>
  <c r="X149" i="3"/>
  <c r="V149" i="3"/>
  <c r="Y149" i="3"/>
  <c r="Z149" i="3"/>
  <c r="W149" i="3"/>
  <c r="V116" i="3"/>
  <c r="Y167" i="3"/>
  <c r="Z167" i="3"/>
  <c r="X167" i="3"/>
  <c r="W167" i="3"/>
  <c r="V167" i="3"/>
  <c r="V11" i="3"/>
  <c r="W11" i="3"/>
  <c r="Z11" i="3"/>
  <c r="Y11" i="3"/>
  <c r="X11" i="3"/>
  <c r="X173" i="3"/>
  <c r="Y173" i="3"/>
  <c r="Z173" i="3"/>
  <c r="W173" i="3"/>
  <c r="X150" i="3"/>
  <c r="V150" i="3"/>
  <c r="W150" i="3"/>
  <c r="Z32" i="3"/>
  <c r="W32" i="3"/>
  <c r="Y32" i="3"/>
  <c r="Z150" i="3"/>
  <c r="Z157" i="3"/>
  <c r="V157" i="3"/>
  <c r="X157" i="3"/>
  <c r="Y157" i="3"/>
  <c r="Z12" i="3"/>
  <c r="V12" i="3"/>
  <c r="Y12" i="3"/>
  <c r="W12" i="3"/>
  <c r="X12" i="3"/>
  <c r="W116" i="3"/>
  <c r="Z200" i="3"/>
  <c r="V19" i="3"/>
  <c r="V82" i="3"/>
  <c r="Z45" i="3"/>
  <c r="X174" i="3"/>
  <c r="V30" i="3"/>
  <c r="V93" i="3"/>
  <c r="Z163" i="3"/>
  <c r="X30" i="3"/>
  <c r="V176" i="3"/>
  <c r="Y168" i="3"/>
  <c r="Y78" i="3"/>
  <c r="W69" i="3"/>
  <c r="X82" i="3"/>
  <c r="Z29" i="3"/>
  <c r="Z97" i="3"/>
  <c r="W60" i="3"/>
  <c r="V45" i="3"/>
  <c r="X66" i="3"/>
  <c r="V57" i="3"/>
  <c r="X202" i="3"/>
  <c r="W138" i="3"/>
  <c r="Y138" i="3"/>
  <c r="X188" i="3"/>
  <c r="W155" i="3"/>
  <c r="W106" i="3"/>
  <c r="X180" i="3"/>
  <c r="W114" i="3"/>
  <c r="Z114" i="3"/>
  <c r="W89" i="3"/>
  <c r="X89" i="3"/>
  <c r="V55" i="3"/>
  <c r="V155" i="3"/>
  <c r="V106" i="3"/>
  <c r="Z106" i="3"/>
  <c r="Z55" i="3"/>
  <c r="X155" i="3"/>
  <c r="Y164" i="3"/>
  <c r="Z144" i="3"/>
  <c r="X55" i="3"/>
  <c r="W131" i="3"/>
  <c r="X156" i="3"/>
  <c r="W36" i="3"/>
  <c r="W105" i="3"/>
  <c r="Z140" i="3"/>
  <c r="W174" i="3"/>
  <c r="Z72" i="3"/>
  <c r="X163" i="3"/>
  <c r="W90" i="3"/>
  <c r="V131" i="3"/>
  <c r="W176" i="3"/>
  <c r="V199" i="3"/>
  <c r="X43" i="3"/>
  <c r="V54" i="3"/>
  <c r="X69" i="3"/>
  <c r="X120" i="3"/>
  <c r="Z125" i="3"/>
  <c r="G9" i="5" s="1"/>
  <c r="R9" i="5" s="1"/>
  <c r="Z137" i="3"/>
  <c r="X77" i="3"/>
  <c r="V29" i="3"/>
  <c r="V97" i="3"/>
  <c r="Y156" i="3"/>
  <c r="Y60" i="3"/>
  <c r="X141" i="3"/>
  <c r="V9" i="3"/>
  <c r="Y36" i="3"/>
  <c r="Y175" i="3"/>
  <c r="Z105" i="3"/>
  <c r="Y140" i="3"/>
  <c r="Z139" i="3"/>
  <c r="Z174" i="3"/>
  <c r="Y202" i="3"/>
  <c r="Z90" i="3"/>
  <c r="Y89" i="3"/>
  <c r="X126" i="3"/>
  <c r="W93" i="3"/>
  <c r="Y113" i="3"/>
  <c r="X187" i="3"/>
  <c r="X138" i="3"/>
  <c r="Z93" i="3"/>
  <c r="W180" i="3"/>
  <c r="W45" i="3"/>
  <c r="V187" i="3"/>
  <c r="V138" i="3"/>
  <c r="W109" i="3"/>
  <c r="Z102" i="3"/>
  <c r="Y114" i="3"/>
  <c r="Z82" i="3"/>
  <c r="V109" i="3"/>
  <c r="Y57" i="3"/>
  <c r="W202" i="3"/>
  <c r="W8" i="3"/>
  <c r="Y80" i="3"/>
  <c r="X80" i="3"/>
  <c r="X114" i="3"/>
  <c r="Z164" i="3"/>
  <c r="W80" i="3"/>
  <c r="W20" i="3"/>
  <c r="W163" i="3"/>
  <c r="V90" i="3"/>
  <c r="Y30" i="3"/>
  <c r="X131" i="3"/>
  <c r="W21" i="3"/>
  <c r="V89" i="3"/>
  <c r="Z199" i="3"/>
  <c r="W43" i="3"/>
  <c r="Z54" i="3"/>
  <c r="W129" i="3"/>
  <c r="Z69" i="3"/>
  <c r="Z120" i="3"/>
  <c r="Z168" i="3"/>
  <c r="X137" i="3"/>
  <c r="V77" i="3"/>
  <c r="X29" i="3"/>
  <c r="X97" i="3"/>
  <c r="V156" i="3"/>
  <c r="V60" i="3"/>
  <c r="Z141" i="3"/>
  <c r="V36" i="3"/>
  <c r="Y49" i="3"/>
  <c r="Z104" i="3"/>
  <c r="X78" i="3"/>
  <c r="Z175" i="3"/>
  <c r="Y105" i="3"/>
  <c r="V140" i="3"/>
  <c r="V139" i="3"/>
  <c r="V174" i="3"/>
  <c r="V202" i="3"/>
  <c r="Y95" i="3"/>
  <c r="W83" i="3"/>
  <c r="V164" i="3"/>
  <c r="Z66" i="3"/>
  <c r="Z133" i="3"/>
  <c r="Y55" i="3"/>
  <c r="X93" i="3"/>
  <c r="W133" i="3"/>
  <c r="Y106" i="3"/>
  <c r="X113" i="3"/>
  <c r="W82" i="3"/>
  <c r="V114" i="3"/>
  <c r="Z176" i="3"/>
  <c r="Y43" i="3"/>
  <c r="Z53" i="3"/>
  <c r="X176" i="3"/>
  <c r="W78" i="3"/>
  <c r="W156" i="3"/>
  <c r="W140" i="3"/>
  <c r="Y72" i="3"/>
  <c r="V80" i="3"/>
  <c r="Y131" i="3"/>
  <c r="Z43" i="3"/>
  <c r="X72" i="3"/>
  <c r="Z188" i="3"/>
  <c r="Y20" i="3"/>
  <c r="Y90" i="3"/>
  <c r="Z21" i="3"/>
  <c r="V137" i="3"/>
  <c r="Y199" i="3"/>
  <c r="Z19" i="3"/>
  <c r="W120" i="3"/>
  <c r="W137" i="3"/>
  <c r="Z17" i="3"/>
  <c r="V85" i="3"/>
  <c r="Y107" i="3"/>
  <c r="X168" i="3"/>
  <c r="X58" i="3"/>
  <c r="Y163" i="3"/>
  <c r="Z208" i="3"/>
  <c r="W184" i="3"/>
  <c r="Z184" i="3"/>
  <c r="W24" i="3"/>
  <c r="Z24" i="3"/>
  <c r="X46" i="3"/>
  <c r="W166" i="3"/>
  <c r="Y166" i="3"/>
  <c r="V190" i="3"/>
  <c r="V166" i="3"/>
  <c r="V181" i="3"/>
  <c r="W181" i="3"/>
  <c r="Z181" i="3"/>
  <c r="X181" i="3"/>
  <c r="W25" i="3"/>
  <c r="Z46" i="3"/>
  <c r="V34" i="3"/>
  <c r="Z59" i="3"/>
  <c r="W35" i="3"/>
  <c r="W22" i="3"/>
  <c r="V48" i="3"/>
  <c r="Y48" i="3"/>
  <c r="W48" i="3"/>
  <c r="Z48" i="3"/>
  <c r="V71" i="3"/>
  <c r="V178" i="3"/>
  <c r="X166" i="3"/>
  <c r="Z85" i="3"/>
  <c r="W47" i="3"/>
  <c r="Z179" i="3"/>
  <c r="W46" i="3"/>
  <c r="W59" i="3"/>
  <c r="Z35" i="3"/>
  <c r="Y22" i="3"/>
  <c r="X49" i="3"/>
  <c r="Z49" i="3"/>
  <c r="Z37" i="3"/>
  <c r="X37" i="3"/>
  <c r="W190" i="3"/>
  <c r="Z13" i="3"/>
  <c r="Y13" i="3"/>
  <c r="Y71" i="3"/>
  <c r="X71" i="3"/>
  <c r="X33" i="3"/>
  <c r="X190" i="3"/>
  <c r="W178" i="3"/>
  <c r="X10" i="3"/>
  <c r="Y47" i="3"/>
  <c r="X13" i="3"/>
  <c r="V47" i="3"/>
  <c r="Y46" i="3"/>
  <c r="Y191" i="3"/>
  <c r="Y35" i="3"/>
  <c r="V22" i="3"/>
  <c r="Y180" i="3"/>
  <c r="Z180" i="3"/>
  <c r="V49" i="3"/>
  <c r="W34" i="3"/>
  <c r="Y83" i="3"/>
  <c r="Y34" i="3"/>
  <c r="Z22" i="3"/>
  <c r="V59" i="3"/>
  <c r="X48" i="3"/>
  <c r="X85" i="3"/>
  <c r="W9" i="3"/>
  <c r="Y189" i="3"/>
  <c r="Z33" i="3"/>
  <c r="Z10" i="3"/>
  <c r="W154" i="3"/>
  <c r="W10" i="3"/>
  <c r="Y133" i="3"/>
  <c r="Y85" i="3"/>
  <c r="W13" i="3"/>
  <c r="X47" i="3"/>
  <c r="Y155" i="3"/>
  <c r="X59" i="3"/>
  <c r="Z191" i="3"/>
  <c r="V35" i="3"/>
  <c r="Z121" i="3"/>
  <c r="X121" i="3"/>
  <c r="V121" i="3"/>
  <c r="Z83" i="3"/>
  <c r="Z190" i="3"/>
  <c r="V83" i="3"/>
  <c r="X178" i="3"/>
  <c r="Y24" i="3"/>
  <c r="Y193" i="3"/>
  <c r="Z189" i="3"/>
  <c r="Y33" i="3"/>
  <c r="X154" i="3"/>
  <c r="V10" i="3"/>
  <c r="Y201" i="3"/>
  <c r="Z9" i="3"/>
  <c r="Y181" i="3"/>
  <c r="W179" i="3"/>
  <c r="Z23" i="3"/>
  <c r="W191" i="3"/>
  <c r="Y109" i="3"/>
  <c r="X109" i="3"/>
  <c r="X132" i="3"/>
  <c r="Z132" i="3"/>
  <c r="X205" i="3"/>
  <c r="Z205" i="3"/>
  <c r="V24" i="3"/>
  <c r="Z71" i="3"/>
  <c r="Z142" i="3"/>
  <c r="V189" i="3"/>
  <c r="V33" i="3"/>
  <c r="V154" i="3"/>
  <c r="W205" i="3"/>
  <c r="X201" i="3"/>
  <c r="X9" i="3"/>
  <c r="Y205" i="3"/>
  <c r="V179" i="3"/>
  <c r="W203" i="3"/>
  <c r="W23" i="3"/>
  <c r="V191" i="3"/>
  <c r="Y108" i="3"/>
  <c r="X108" i="3"/>
  <c r="Y73" i="3"/>
  <c r="V73" i="3"/>
  <c r="Z73" i="3"/>
  <c r="X24" i="3"/>
  <c r="Z178" i="3"/>
  <c r="Y25" i="3"/>
  <c r="Z25" i="3"/>
  <c r="Z166" i="3"/>
  <c r="W130" i="3"/>
  <c r="V205" i="3"/>
  <c r="W73" i="3"/>
  <c r="Z201" i="3"/>
  <c r="F11" i="5"/>
  <c r="Q11" i="5" s="1"/>
  <c r="C9" i="5" l="1"/>
  <c r="N9" i="5" s="1"/>
  <c r="E9" i="5"/>
  <c r="P9" i="5" s="1"/>
  <c r="E11" i="5"/>
  <c r="P11" i="5" s="1"/>
  <c r="D8" i="5"/>
  <c r="O8" i="5" s="1"/>
  <c r="G8" i="5"/>
  <c r="R8" i="5" s="1"/>
  <c r="F8" i="5"/>
  <c r="Q8" i="5" s="1"/>
  <c r="F9" i="5"/>
  <c r="Q9" i="5" s="1"/>
  <c r="D11" i="5"/>
  <c r="O11" i="5" s="1"/>
  <c r="D6" i="5"/>
  <c r="G11" i="5"/>
  <c r="R11" i="5" s="1"/>
  <c r="D9" i="5"/>
  <c r="O9" i="5" s="1"/>
  <c r="C11" i="5"/>
  <c r="C8" i="5"/>
  <c r="E8" i="5"/>
  <c r="P8" i="5" s="1"/>
  <c r="F7" i="5"/>
  <c r="Q7" i="5" s="1"/>
  <c r="G7" i="5"/>
  <c r="R7" i="5" s="1"/>
  <c r="C7" i="5"/>
  <c r="E7" i="5"/>
  <c r="P7" i="5" s="1"/>
  <c r="D7" i="5"/>
  <c r="O7" i="5" s="1"/>
  <c r="C20" i="5" l="1"/>
  <c r="D20" i="5"/>
  <c r="C21" i="5"/>
  <c r="E6" i="5"/>
  <c r="P6" i="5" s="1"/>
  <c r="F6" i="5"/>
  <c r="Q6" i="5" s="1"/>
  <c r="C6" i="5"/>
  <c r="N6" i="5" s="1"/>
  <c r="C17" i="5"/>
  <c r="G6" i="5"/>
  <c r="D17" i="5"/>
  <c r="D10" i="5"/>
  <c r="O10" i="5" s="1"/>
  <c r="F10" i="5"/>
  <c r="Q10" i="5" s="1"/>
  <c r="D18" i="5"/>
  <c r="C18" i="5"/>
  <c r="N7" i="5"/>
  <c r="H7" i="5"/>
  <c r="N11" i="5"/>
  <c r="H11" i="5"/>
  <c r="H9" i="5"/>
  <c r="C19" i="5"/>
  <c r="D19" i="5"/>
  <c r="O6" i="5"/>
  <c r="N8" i="5"/>
  <c r="H8" i="5"/>
  <c r="E10" i="5"/>
  <c r="P10" i="5" s="1"/>
  <c r="C10" i="5"/>
  <c r="G10" i="5"/>
  <c r="R10" i="5" s="1"/>
  <c r="D21" i="5"/>
  <c r="E20" i="5" l="1"/>
  <c r="E17" i="5"/>
  <c r="D22" i="5"/>
  <c r="C12" i="5"/>
  <c r="H6" i="5"/>
  <c r="I6" i="5" s="1"/>
  <c r="R6" i="5"/>
  <c r="F12" i="5"/>
  <c r="D12" i="5"/>
  <c r="G12" i="5"/>
  <c r="I8" i="5"/>
  <c r="J8" i="5"/>
  <c r="J9" i="5"/>
  <c r="I9" i="5"/>
  <c r="J11" i="5"/>
  <c r="I11" i="5"/>
  <c r="E18" i="5"/>
  <c r="N10" i="5"/>
  <c r="H10" i="5"/>
  <c r="E19" i="5"/>
  <c r="J7" i="5"/>
  <c r="I7" i="5"/>
  <c r="E21" i="5"/>
  <c r="C22" i="5"/>
  <c r="E12" i="5"/>
  <c r="H12" i="5" l="1"/>
  <c r="J6" i="5"/>
  <c r="J10" i="5"/>
  <c r="I10"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F1" authorId="0" shapeId="0" xr:uid="{00000000-0006-0000-0300-000001000000}">
      <text>
        <r>
          <rPr>
            <sz val="10"/>
            <rFont val="Arial"/>
            <family val="2"/>
          </rPr>
          <t>Input cell (blue font) — HR to update manually. All columns G onward are formulas, do not overwrite.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Q1" authorId="0" shapeId="0" xr:uid="{00000000-0006-0000-0200-000001000000}">
      <text>
        <r>
          <rPr>
            <sz val="10"/>
            <rFont val="Arial"/>
            <family val="2"/>
          </rPr>
          <t>Helper column auto-derived from Order Date. Used by dashboard formulas to summarize by month. Do not edit directly.</t>
        </r>
      </text>
    </comment>
    <comment ref="R1" authorId="0" shapeId="0" xr:uid="{00000000-0006-0000-0200-000002000000}">
      <text>
        <r>
          <rPr>
            <sz val="10"/>
            <rFont val="Arial"/>
            <family val="2"/>
          </rPr>
          <t>Cost, profit and loss columns (R:Z) are all driven from the Assumptions sheet. Edit the yellow cells on Assumptions to update every order's cost automatically.</t>
        </r>
      </text>
    </comment>
    <comment ref="Z1" authorId="0" shapeId="0" xr:uid="{00000000-0006-0000-0200-000003000000}">
      <text>
        <r>
          <rPr>
            <sz val="10"/>
            <rFont val="Arial"/>
            <family val="2"/>
          </rPr>
          <t>Auto-classified reason for the loss on this order (blank/'Profitable' when the order made money). Logic is documented on the Assumptions sheet.</t>
        </r>
      </text>
    </comment>
  </commentList>
</comments>
</file>

<file path=xl/sharedStrings.xml><?xml version="1.0" encoding="utf-8"?>
<sst xmlns="http://schemas.openxmlformats.org/spreadsheetml/2006/main" count="2000" uniqueCount="550">
  <si>
    <t>Avg Customer Rating</t>
  </si>
  <si>
    <t>Channel</t>
  </si>
  <si>
    <t>Category</t>
  </si>
  <si>
    <t>Mobile App</t>
  </si>
  <si>
    <t>Grocery</t>
  </si>
  <si>
    <t>Website</t>
  </si>
  <si>
    <t>Electronics</t>
  </si>
  <si>
    <t>Total</t>
  </si>
  <si>
    <t>Fashion</t>
  </si>
  <si>
    <t>Food &amp; Beverage</t>
  </si>
  <si>
    <t>Pharmacy</t>
  </si>
  <si>
    <t>Home &amp; Living</t>
  </si>
  <si>
    <t>Payment Method</t>
  </si>
  <si>
    <t>Delivered</t>
  </si>
  <si>
    <t>UPI/Wallet</t>
  </si>
  <si>
    <t>Cancelled</t>
  </si>
  <si>
    <t>Credit/Debit Card</t>
  </si>
  <si>
    <t>Returned</t>
  </si>
  <si>
    <t>Cash on Delivery</t>
  </si>
  <si>
    <t>Net Banking</t>
  </si>
  <si>
    <t>Month</t>
  </si>
  <si>
    <t>Total Cost ($)</t>
  </si>
  <si>
    <t>Profit ($)</t>
  </si>
  <si>
    <t>Profit %</t>
  </si>
  <si>
    <t>Loss ($)</t>
  </si>
  <si>
    <t>Loss %</t>
  </si>
  <si>
    <t>Cause</t>
  </si>
  <si>
    <t>Total Loss ($)</t>
  </si>
  <si>
    <t>Jan-2026</t>
  </si>
  <si>
    <t>Feb-2026</t>
  </si>
  <si>
    <t>Mar-2026</t>
  </si>
  <si>
    <t>Apr-2026</t>
  </si>
  <si>
    <t>May-2026</t>
  </si>
  <si>
    <t>Jun-2026</t>
  </si>
  <si>
    <t>Cost Model Assumptions — PLACEHOLDER VALUES, replace with your real cost data</t>
  </si>
  <si>
    <t>Every Profit/Loss figure in this workbook is driven from the cells below. Edit only the yellow cells.</t>
  </si>
  <si>
    <t>Cost of Goods Sold (COGS) — % of Order Value, by Category</t>
  </si>
  <si>
    <t>COGS % of Order Value</t>
  </si>
  <si>
    <t>Delivery / Fulfillment Cost Drivers</t>
  </si>
  <si>
    <t>Cost Driver</t>
  </si>
  <si>
    <t>Value</t>
  </si>
  <si>
    <t>Notes</t>
  </si>
  <si>
    <t>Base delivery cost per order ($)</t>
  </si>
  <si>
    <t>Rider pickup + base fuel/vehicle cost per dispatched order</t>
  </si>
  <si>
    <t>Delivery cost per minute in transit ($)</t>
  </si>
  <si>
    <t>Marginal fuel/time cost per minute of delivery time</t>
  </si>
  <si>
    <t>Cancelled-order dispatch cost ($)</t>
  </si>
  <si>
    <t>Sunk cost when an order is cancelled after dispatch begins</t>
  </si>
  <si>
    <t>Returned-order reverse logistics cost ($)</t>
  </si>
  <si>
    <t>Extra pickup + restocking cost on top of base delivery cost</t>
  </si>
  <si>
    <t>Order ID</t>
  </si>
  <si>
    <t>Order Date</t>
  </si>
  <si>
    <t>Customer Name</t>
  </si>
  <si>
    <t>City</t>
  </si>
  <si>
    <t>Items</t>
  </si>
  <si>
    <t>Order Value ($)</t>
  </si>
  <si>
    <t>Discount %</t>
  </si>
  <si>
    <t>Delivery Charge ($)</t>
  </si>
  <si>
    <t>Net Revenue ($)</t>
  </si>
  <si>
    <t>Delivery Partner</t>
  </si>
  <si>
    <t>Delivery Status</t>
  </si>
  <si>
    <t>Delivery Time (mins)</t>
  </si>
  <si>
    <t>Customer Rating (1-5)</t>
  </si>
  <si>
    <t>Cost of Goods ($)</t>
  </si>
  <si>
    <t>Fulfillment Cost ($)</t>
  </si>
  <si>
    <t>Net Profit/(Loss) ($)</t>
  </si>
  <si>
    <t>Loss Cause</t>
  </si>
  <si>
    <t>ORD10206</t>
  </si>
  <si>
    <t>Isha Das</t>
  </si>
  <si>
    <t>Hyderabad</t>
  </si>
  <si>
    <t>Jyoti Panda</t>
  </si>
  <si>
    <t>ORD10159</t>
  </si>
  <si>
    <t>Sneha Das</t>
  </si>
  <si>
    <t>Chennai</t>
  </si>
  <si>
    <t>Deepak Sahu</t>
  </si>
  <si>
    <t>ORD10039</t>
  </si>
  <si>
    <t>Riya Pillai</t>
  </si>
  <si>
    <t>Kolkata</t>
  </si>
  <si>
    <t>Imran Khan</t>
  </si>
  <si>
    <t>ORD10167</t>
  </si>
  <si>
    <t>Ishaan Iyer</t>
  </si>
  <si>
    <t>Bengaluru</t>
  </si>
  <si>
    <t>Sunil Barik</t>
  </si>
  <si>
    <t>ORD10041</t>
  </si>
  <si>
    <t>Pooja Sharma</t>
  </si>
  <si>
    <t>ORD10203</t>
  </si>
  <si>
    <t>Arjun Patel</t>
  </si>
  <si>
    <t>Delhi</t>
  </si>
  <si>
    <t>Kunal Mehta</t>
  </si>
  <si>
    <t>ORD10029</t>
  </si>
  <si>
    <t>Divya Pillai</t>
  </si>
  <si>
    <t>Rekha Sethi</t>
  </si>
  <si>
    <t>ORD10013</t>
  </si>
  <si>
    <t>Yash Reddy</t>
  </si>
  <si>
    <t>Harpreet Singh</t>
  </si>
  <si>
    <t>ORD10084</t>
  </si>
  <si>
    <t>Aryan Joshi</t>
  </si>
  <si>
    <t>Pune</t>
  </si>
  <si>
    <t>Gaurav Nanda</t>
  </si>
  <si>
    <t>ORD10153</t>
  </si>
  <si>
    <t>Simran Reddy</t>
  </si>
  <si>
    <t>ORD10008</t>
  </si>
  <si>
    <t>Rohan Agarwal</t>
  </si>
  <si>
    <t>ORD10192</t>
  </si>
  <si>
    <t>Yash Patel</t>
  </si>
  <si>
    <t>ORD10208</t>
  </si>
  <si>
    <t>Arjun Iyer</t>
  </si>
  <si>
    <t>Omkar Naik</t>
  </si>
  <si>
    <t>ORD10143</t>
  </si>
  <si>
    <t>Tanya Das</t>
  </si>
  <si>
    <t>Bikash Mallick</t>
  </si>
  <si>
    <t>ORD10019</t>
  </si>
  <si>
    <t>Ishaan Bose</t>
  </si>
  <si>
    <t>Ramesh Yadav</t>
  </si>
  <si>
    <t>ORD10077</t>
  </si>
  <si>
    <t>Sahil Ghosh</t>
  </si>
  <si>
    <t>Mumbai</t>
  </si>
  <si>
    <t>ORD10042</t>
  </si>
  <si>
    <t>Sneha Kapoor</t>
  </si>
  <si>
    <t>ORD10191</t>
  </si>
  <si>
    <t>Aarav Das</t>
  </si>
  <si>
    <t>ORD10205</t>
  </si>
  <si>
    <t>Aryan Iyer</t>
  </si>
  <si>
    <t>ORD10219</t>
  </si>
  <si>
    <t>Aarav Nair</t>
  </si>
  <si>
    <t>ORD10188</t>
  </si>
  <si>
    <t>Varun Singh</t>
  </si>
  <si>
    <t>ORD10069</t>
  </si>
  <si>
    <t>Ananya Sharma</t>
  </si>
  <si>
    <t>ORD10144</t>
  </si>
  <si>
    <t>Yash Mishra</t>
  </si>
  <si>
    <t>Bhubaneswar</t>
  </si>
  <si>
    <t>Suresh Kumar</t>
  </si>
  <si>
    <t>ORD10011</t>
  </si>
  <si>
    <t>Tara Malhotra</t>
  </si>
  <si>
    <t>ORD10176</t>
  </si>
  <si>
    <t>Tara Iyer</t>
  </si>
  <si>
    <t>Farhan Ali</t>
  </si>
  <si>
    <t>ORD10164</t>
  </si>
  <si>
    <t>Sneha Bose</t>
  </si>
  <si>
    <t>Pankaj Dey</t>
  </si>
  <si>
    <t>ORD10060</t>
  </si>
  <si>
    <t>Nikhil Kapoor</t>
  </si>
  <si>
    <t>Usha Rani</t>
  </si>
  <si>
    <t>ORD10062</t>
  </si>
  <si>
    <t>Divya Nair</t>
  </si>
  <si>
    <t>Lalita Rout</t>
  </si>
  <si>
    <t>ORD10078</t>
  </si>
  <si>
    <t>Karan Malhotra</t>
  </si>
  <si>
    <t>Nisha Pradhan</t>
  </si>
  <si>
    <t>ORD10193</t>
  </si>
  <si>
    <t>Rahul Bose</t>
  </si>
  <si>
    <t>ORD10010</t>
  </si>
  <si>
    <t>Dev Pillai</t>
  </si>
  <si>
    <t>ORD10148</t>
  </si>
  <si>
    <t>Yash Malhotra</t>
  </si>
  <si>
    <t>ORD10220</t>
  </si>
  <si>
    <t>Rohan Gupta</t>
  </si>
  <si>
    <t>ORD10179</t>
  </si>
  <si>
    <t>ORD10050</t>
  </si>
  <si>
    <t>ORD10017</t>
  </si>
  <si>
    <t>Arjun Verma</t>
  </si>
  <si>
    <t>ORD10210</t>
  </si>
  <si>
    <t>Nikhil Iyer</t>
  </si>
  <si>
    <t>Anita Behera</t>
  </si>
  <si>
    <t>ORD10204</t>
  </si>
  <si>
    <t>Aryan Singh</t>
  </si>
  <si>
    <t>ORD10126</t>
  </si>
  <si>
    <t>Vivaan Verma</t>
  </si>
  <si>
    <t>ORD10212</t>
  </si>
  <si>
    <t>Kritika Nair</t>
  </si>
  <si>
    <t>ORD10122</t>
  </si>
  <si>
    <t>Yash Ghosh</t>
  </si>
  <si>
    <t>ORD10186</t>
  </si>
  <si>
    <t>Ananya Nair</t>
  </si>
  <si>
    <t>Manoj Tiwari</t>
  </si>
  <si>
    <t>ORD10138</t>
  </si>
  <si>
    <t>Kritika Singh</t>
  </si>
  <si>
    <t>ORD10195</t>
  </si>
  <si>
    <t>Riya Joshi</t>
  </si>
  <si>
    <t>ORD10215</t>
  </si>
  <si>
    <t>Kritika Menon</t>
  </si>
  <si>
    <t>ORD10127</t>
  </si>
  <si>
    <t>Meera Kapoor</t>
  </si>
  <si>
    <t>ORD10086</t>
  </si>
  <si>
    <t>Varun Bose</t>
  </si>
  <si>
    <t>ORD10158</t>
  </si>
  <si>
    <t>Aarav Sharma</t>
  </si>
  <si>
    <t>ORD10083</t>
  </si>
  <si>
    <t>Aryan Agarwal</t>
  </si>
  <si>
    <t>ORD10058</t>
  </si>
  <si>
    <t>Sneha Chatterjee</t>
  </si>
  <si>
    <t>ORD10047</t>
  </si>
  <si>
    <t>Priya Agarwal</t>
  </si>
  <si>
    <t>ORD10005</t>
  </si>
  <si>
    <t>Sneha Verma</t>
  </si>
  <si>
    <t>ORD10003</t>
  </si>
  <si>
    <t>Tanya Pillai</t>
  </si>
  <si>
    <t>ORD10081</t>
  </si>
  <si>
    <t>ORD10049</t>
  </si>
  <si>
    <t>Tarun Chauhan</t>
  </si>
  <si>
    <t>ORD10217</t>
  </si>
  <si>
    <t>Meera Iyer</t>
  </si>
  <si>
    <t>ORD10030</t>
  </si>
  <si>
    <t>Nikhil Singh</t>
  </si>
  <si>
    <t>ORD10118</t>
  </si>
  <si>
    <t>Dev Singh</t>
  </si>
  <si>
    <t>ORD10185</t>
  </si>
  <si>
    <t>Arjun Joshi</t>
  </si>
  <si>
    <t>ORD10157</t>
  </si>
  <si>
    <t>Aryan Sharma</t>
  </si>
  <si>
    <t>ORD10088</t>
  </si>
  <si>
    <t>Yash Singh</t>
  </si>
  <si>
    <t>ORD10090</t>
  </si>
  <si>
    <t>Dev Ghosh</t>
  </si>
  <si>
    <t>ORD10139</t>
  </si>
  <si>
    <t>ORD10097</t>
  </si>
  <si>
    <t>Varun Joshi</t>
  </si>
  <si>
    <t>ORD10214</t>
  </si>
  <si>
    <t>Aditi Mishra</t>
  </si>
  <si>
    <t>ORD10105</t>
  </si>
  <si>
    <t>Neha Mishra</t>
  </si>
  <si>
    <t>ORD10130</t>
  </si>
  <si>
    <t>Nikhil Nair</t>
  </si>
  <si>
    <t>ORD10057</t>
  </si>
  <si>
    <t>Priya Singh</t>
  </si>
  <si>
    <t>ORD10044</t>
  </si>
  <si>
    <t>ORD10209</t>
  </si>
  <si>
    <t>Priya Malhotra</t>
  </si>
  <si>
    <t>ORD10036</t>
  </si>
  <si>
    <t>Riya Reddy</t>
  </si>
  <si>
    <t>ORD10134</t>
  </si>
  <si>
    <t>Vivaan Reddy</t>
  </si>
  <si>
    <t>ORD10022</t>
  </si>
  <si>
    <t>Neha Joshi</t>
  </si>
  <si>
    <t>ORD10032</t>
  </si>
  <si>
    <t>Shreya Chatterjee</t>
  </si>
  <si>
    <t>ORD10145</t>
  </si>
  <si>
    <t>Aryan Chatterjee</t>
  </si>
  <si>
    <t>ORD10089</t>
  </si>
  <si>
    <t>Rohan Mishra</t>
  </si>
  <si>
    <t>ORD10147</t>
  </si>
  <si>
    <t>ORD10045</t>
  </si>
  <si>
    <t>Isha Sharma</t>
  </si>
  <si>
    <t>ORD10001</t>
  </si>
  <si>
    <t>ORD10074</t>
  </si>
  <si>
    <t>Rohan Sharma</t>
  </si>
  <si>
    <t>ORD10102</t>
  </si>
  <si>
    <t>Tara Menon</t>
  </si>
  <si>
    <t>ORD10075</t>
  </si>
  <si>
    <t>Isha Malhotra</t>
  </si>
  <si>
    <t>ORD10016</t>
  </si>
  <si>
    <t>Ishaan Nair</t>
  </si>
  <si>
    <t>ORD10154</t>
  </si>
  <si>
    <t>ORD10009</t>
  </si>
  <si>
    <t>Vivaan Kapoor</t>
  </si>
  <si>
    <t>ORD10002</t>
  </si>
  <si>
    <t>Aditi Verma</t>
  </si>
  <si>
    <t>ORD10123</t>
  </si>
  <si>
    <t>ORD10064</t>
  </si>
  <si>
    <t>Dev Chatterjee</t>
  </si>
  <si>
    <t>ORD10068</t>
  </si>
  <si>
    <t>Shreya Kapoor</t>
  </si>
  <si>
    <t>ORD10140</t>
  </si>
  <si>
    <t>ORD10129</t>
  </si>
  <si>
    <t>Vivaan Agarwal</t>
  </si>
  <si>
    <t>ORD10162</t>
  </si>
  <si>
    <t>Aryan Kapoor</t>
  </si>
  <si>
    <t>ORD10031</t>
  </si>
  <si>
    <t>Rahul Chatterjee</t>
  </si>
  <si>
    <t>ORD10072</t>
  </si>
  <si>
    <t>Arjun Das</t>
  </si>
  <si>
    <t>ORD10035</t>
  </si>
  <si>
    <t>ORD10101</t>
  </si>
  <si>
    <t>ORD10095</t>
  </si>
  <si>
    <t>Dev Kapoor</t>
  </si>
  <si>
    <t>ORD10027</t>
  </si>
  <si>
    <t>Shreya Patel</t>
  </si>
  <si>
    <t>ORD10136</t>
  </si>
  <si>
    <t>Divya Gupta</t>
  </si>
  <si>
    <t>ORD10156</t>
  </si>
  <si>
    <t>Rahul Gupta</t>
  </si>
  <si>
    <t>ORD10163</t>
  </si>
  <si>
    <t>Sahil Bose</t>
  </si>
  <si>
    <t>ORD10170</t>
  </si>
  <si>
    <t>Karan Kapoor</t>
  </si>
  <si>
    <t>ORD10184</t>
  </si>
  <si>
    <t>Shreya Ghosh</t>
  </si>
  <si>
    <t>ORD10115</t>
  </si>
  <si>
    <t>Aarav Bose</t>
  </si>
  <si>
    <t>ORD10141</t>
  </si>
  <si>
    <t>ORD10048</t>
  </si>
  <si>
    <t>Meera Pillai</t>
  </si>
  <si>
    <t>ORD10043</t>
  </si>
  <si>
    <t>ORD10037</t>
  </si>
  <si>
    <t>ORD10007</t>
  </si>
  <si>
    <t>Manav Iyer</t>
  </si>
  <si>
    <t>ORD10200</t>
  </si>
  <si>
    <t>Kritika Mishra</t>
  </si>
  <si>
    <t>ORD10059</t>
  </si>
  <si>
    <t>Karan Reddy</t>
  </si>
  <si>
    <t>ORD10053</t>
  </si>
  <si>
    <t>Isha Kapoor</t>
  </si>
  <si>
    <t>ORD10110</t>
  </si>
  <si>
    <t>ORD10213</t>
  </si>
  <si>
    <t>Meera Bose</t>
  </si>
  <si>
    <t>ORD10135</t>
  </si>
  <si>
    <t>ORD10174</t>
  </si>
  <si>
    <t>Nikhil Joshi</t>
  </si>
  <si>
    <t>ORD10061</t>
  </si>
  <si>
    <t>Sneha Patel</t>
  </si>
  <si>
    <t>ORD10109</t>
  </si>
  <si>
    <t>ORD10175</t>
  </si>
  <si>
    <t>Ananya Bose</t>
  </si>
  <si>
    <t>ORD10085</t>
  </si>
  <si>
    <t>Kabir Singh</t>
  </si>
  <si>
    <t>ORD10160</t>
  </si>
  <si>
    <t>Aditi Kapoor</t>
  </si>
  <si>
    <t>ORD10106</t>
  </si>
  <si>
    <t>Varun Gupta</t>
  </si>
  <si>
    <t>ORD10166</t>
  </si>
  <si>
    <t>Sahil Chatterjee</t>
  </si>
  <si>
    <t>ORD10112</t>
  </si>
  <si>
    <t>Neha Kapoor</t>
  </si>
  <si>
    <t>ORD10092</t>
  </si>
  <si>
    <t>Dev Das</t>
  </si>
  <si>
    <t>ORD10201</t>
  </si>
  <si>
    <t>Dev Patel</t>
  </si>
  <si>
    <t>ORD10161</t>
  </si>
  <si>
    <t>ORD10146</t>
  </si>
  <si>
    <t>Pooja Kapoor</t>
  </si>
  <si>
    <t>ORD10024</t>
  </si>
  <si>
    <t>Tanya Reddy</t>
  </si>
  <si>
    <t>ORD10197</t>
  </si>
  <si>
    <t>ORD10196</t>
  </si>
  <si>
    <t>Neha Rao</t>
  </si>
  <si>
    <t>ORD10171</t>
  </si>
  <si>
    <t>Rahul Singh</t>
  </si>
  <si>
    <t>ORD10124</t>
  </si>
  <si>
    <t>ORD10199</t>
  </si>
  <si>
    <t>Rahul Ghosh</t>
  </si>
  <si>
    <t>ORD10211</t>
  </si>
  <si>
    <t>Aarav Verma</t>
  </si>
  <si>
    <t>ORD10137</t>
  </si>
  <si>
    <t>Rahul Pillai</t>
  </si>
  <si>
    <t>ORD10133</t>
  </si>
  <si>
    <t>Simran Menon</t>
  </si>
  <si>
    <t>ORD10087</t>
  </si>
  <si>
    <t>Yash Sharma</t>
  </si>
  <si>
    <t>ORD10125</t>
  </si>
  <si>
    <t>Varun Ghosh</t>
  </si>
  <si>
    <t>ORD10026</t>
  </si>
  <si>
    <t>Kritika Gupta</t>
  </si>
  <si>
    <t>ORD10172</t>
  </si>
  <si>
    <t>Yash Pillai</t>
  </si>
  <si>
    <t>ORD10182</t>
  </si>
  <si>
    <t>Priya Gupta</t>
  </si>
  <si>
    <t>ORD10021</t>
  </si>
  <si>
    <t>Shreya Menon</t>
  </si>
  <si>
    <t>ORD10150</t>
  </si>
  <si>
    <t>Kritika Joshi</t>
  </si>
  <si>
    <t>ORD10079</t>
  </si>
  <si>
    <t>Isha Bose</t>
  </si>
  <si>
    <t>ORD10028</t>
  </si>
  <si>
    <t>Sneha Gupta</t>
  </si>
  <si>
    <t>ORD10207</t>
  </si>
  <si>
    <t>Sahil Nair</t>
  </si>
  <si>
    <t>ORD10104</t>
  </si>
  <si>
    <t>Sneha Agarwal</t>
  </si>
  <si>
    <t>ORD10012</t>
  </si>
  <si>
    <t>Vivaan Rao</t>
  </si>
  <si>
    <t>ORD10165</t>
  </si>
  <si>
    <t>Simran Kapoor</t>
  </si>
  <si>
    <t>ORD10067</t>
  </si>
  <si>
    <t>Sahil Mishra</t>
  </si>
  <si>
    <t>ORD10094</t>
  </si>
  <si>
    <t>Isha Pillai</t>
  </si>
  <si>
    <t>ORD10055</t>
  </si>
  <si>
    <t>Aditi Iyer</t>
  </si>
  <si>
    <t>ORD10099</t>
  </si>
  <si>
    <t>ORD10178</t>
  </si>
  <si>
    <t>Karan Das</t>
  </si>
  <si>
    <t>ORD10190</t>
  </si>
  <si>
    <t>Aditi Bose</t>
  </si>
  <si>
    <t>ORD10073</t>
  </si>
  <si>
    <t>Kabir Agarwal</t>
  </si>
  <si>
    <t>ORD10121</t>
  </si>
  <si>
    <t>Simran Bose</t>
  </si>
  <si>
    <t>ORD10202</t>
  </si>
  <si>
    <t>Shreya Sharma</t>
  </si>
  <si>
    <t>ORD10065</t>
  </si>
  <si>
    <t>Arjun Sharma</t>
  </si>
  <si>
    <t>ORD10015</t>
  </si>
  <si>
    <t>Tara Bose</t>
  </si>
  <si>
    <t>ORD10056</t>
  </si>
  <si>
    <t>Pooja Nair</t>
  </si>
  <si>
    <t>ORD10155</t>
  </si>
  <si>
    <t>Aarav Mishra</t>
  </si>
  <si>
    <t>ORD10040</t>
  </si>
  <si>
    <t>Tanya Kapoor</t>
  </si>
  <si>
    <t>ORD10117</t>
  </si>
  <si>
    <t>Rohan Singh</t>
  </si>
  <si>
    <t>ORD10116</t>
  </si>
  <si>
    <t>Karan Patel</t>
  </si>
  <si>
    <t>ORD10046</t>
  </si>
  <si>
    <t>Manav Verma</t>
  </si>
  <si>
    <t>ORD10033</t>
  </si>
  <si>
    <t>ORD10100</t>
  </si>
  <si>
    <t>ORD10051</t>
  </si>
  <si>
    <t>Manav Sharma</t>
  </si>
  <si>
    <t>ORD10119</t>
  </si>
  <si>
    <t>Dev Agarwal</t>
  </si>
  <si>
    <t>ORD10198</t>
  </si>
  <si>
    <t>ORD10025</t>
  </si>
  <si>
    <t>Riya Agarwal</t>
  </si>
  <si>
    <t>ORD10063</t>
  </si>
  <si>
    <t>Rahul Mishra</t>
  </si>
  <si>
    <t>ORD10071</t>
  </si>
  <si>
    <t>Varun Menon</t>
  </si>
  <si>
    <t>ORD10149</t>
  </si>
  <si>
    <t>ORD10173</t>
  </si>
  <si>
    <t>ORD10108</t>
  </si>
  <si>
    <t>Simran Malhotra</t>
  </si>
  <si>
    <t>ORD10189</t>
  </si>
  <si>
    <t>Tara Gupta</t>
  </si>
  <si>
    <t>ORD10177</t>
  </si>
  <si>
    <t>Simran Ghosh</t>
  </si>
  <si>
    <t>ORD10080</t>
  </si>
  <si>
    <t>Isha Agarwal</t>
  </si>
  <si>
    <t>ORD10181</t>
  </si>
  <si>
    <t>Varun Kapoor</t>
  </si>
  <si>
    <t>ORD10132</t>
  </si>
  <si>
    <t>Priya Reddy</t>
  </si>
  <si>
    <t>ORD10152</t>
  </si>
  <si>
    <t>ORD10131</t>
  </si>
  <si>
    <t>Kabir Iyer</t>
  </si>
  <si>
    <t>ORD10216</t>
  </si>
  <si>
    <t>ORD10183</t>
  </si>
  <si>
    <t>Divya Reddy</t>
  </si>
  <si>
    <t>ORD10006</t>
  </si>
  <si>
    <t>Tara Pillai</t>
  </si>
  <si>
    <t>ORD10052</t>
  </si>
  <si>
    <t>Neha Chatterjee</t>
  </si>
  <si>
    <t>ORD10014</t>
  </si>
  <si>
    <t>Yash Nair</t>
  </si>
  <si>
    <t>ORD10128</t>
  </si>
  <si>
    <t>Priya Sharma</t>
  </si>
  <si>
    <t>ORD10034</t>
  </si>
  <si>
    <t>Karan Rao</t>
  </si>
  <si>
    <t>ORD10169</t>
  </si>
  <si>
    <t>Divya Ghosh</t>
  </si>
  <si>
    <t>ORD10096</t>
  </si>
  <si>
    <t>ORD10093</t>
  </si>
  <si>
    <t>Vivaan Iyer</t>
  </si>
  <si>
    <t>ORD10142</t>
  </si>
  <si>
    <t>Rahul Joshi</t>
  </si>
  <si>
    <t>ORD10066</t>
  </si>
  <si>
    <t>Ishaan Verma</t>
  </si>
  <si>
    <t>ORD10082</t>
  </si>
  <si>
    <t>ORD10070</t>
  </si>
  <si>
    <t>Isha Reddy</t>
  </si>
  <si>
    <t>ORD10076</t>
  </si>
  <si>
    <t>Ananya Malhotra</t>
  </si>
  <si>
    <t>ORD10091</t>
  </si>
  <si>
    <t>Rahul Verma</t>
  </si>
  <si>
    <t>ORD10187</t>
  </si>
  <si>
    <t>Karan Agarwal</t>
  </si>
  <si>
    <t>ORD10194</t>
  </si>
  <si>
    <t>ORD10018</t>
  </si>
  <si>
    <t>ORD10004</t>
  </si>
  <si>
    <t>Shreya Singh</t>
  </si>
  <si>
    <t>ORD10120</t>
  </si>
  <si>
    <t>Kritika Kapoor</t>
  </si>
  <si>
    <t>ORD10113</t>
  </si>
  <si>
    <t>Kabir Ghosh</t>
  </si>
  <si>
    <t>ORD10054</t>
  </si>
  <si>
    <t>ORD10098</t>
  </si>
  <si>
    <t>ORD10111</t>
  </si>
  <si>
    <t>ORD10180</t>
  </si>
  <si>
    <t>Meera Menon</t>
  </si>
  <si>
    <t>ORD10023</t>
  </si>
  <si>
    <t>ORD10020</t>
  </si>
  <si>
    <t>Shreya Gupta</t>
  </si>
  <si>
    <t>ORD10168</t>
  </si>
  <si>
    <t>ORD10114</t>
  </si>
  <si>
    <t>Nikhil Patel</t>
  </si>
  <si>
    <t>ORD10218</t>
  </si>
  <si>
    <t>ORD10151</t>
  </si>
  <si>
    <t>Pooja Chatterjee</t>
  </si>
  <si>
    <t>ORD10107</t>
  </si>
  <si>
    <t>Tara Singh</t>
  </si>
  <si>
    <t>ORD10038</t>
  </si>
  <si>
    <t>Aditi Joshi</t>
  </si>
  <si>
    <t>ORD10103</t>
  </si>
  <si>
    <t>Isha Verma</t>
  </si>
  <si>
    <t>Rider ID</t>
  </si>
  <si>
    <t>Name</t>
  </si>
  <si>
    <t>Join Date</t>
  </si>
  <si>
    <t>Employment Status</t>
  </si>
  <si>
    <t>Monthly Base Pay ($)</t>
  </si>
  <si>
    <t>Total Orders Assigned</t>
  </si>
  <si>
    <t>Delivered Orders</t>
  </si>
  <si>
    <t>On-Time Deliveries (&lt;=45 min)</t>
  </si>
  <si>
    <t>On-Time %</t>
  </si>
  <si>
    <t>Avg Delivery Time (mins)</t>
  </si>
  <si>
    <t>Rank Key</t>
  </si>
  <si>
    <t>RD1001</t>
  </si>
  <si>
    <t>Active</t>
  </si>
  <si>
    <t>RD1002</t>
  </si>
  <si>
    <t>RD1003</t>
  </si>
  <si>
    <t>RD1004</t>
  </si>
  <si>
    <t>RD1005</t>
  </si>
  <si>
    <t>RD1006</t>
  </si>
  <si>
    <t>RD1007</t>
  </si>
  <si>
    <t>RD1008</t>
  </si>
  <si>
    <t>RD1009</t>
  </si>
  <si>
    <t>RD1010</t>
  </si>
  <si>
    <t>RD1011</t>
  </si>
  <si>
    <t>RD1012</t>
  </si>
  <si>
    <t>RD1013</t>
  </si>
  <si>
    <t>RD1014</t>
  </si>
  <si>
    <t>RD1015</t>
  </si>
  <si>
    <t>RD1016</t>
  </si>
  <si>
    <t>RD1017</t>
  </si>
  <si>
    <t>RD1018</t>
  </si>
  <si>
    <t>RD1019</t>
  </si>
  <si>
    <t>RD1020</t>
  </si>
  <si>
    <t>Loss Cause Analysis — supports the Dashboard's month-wise Profit/Loss table</t>
  </si>
  <si>
    <t>Loss Orders by Month and Cause</t>
  </si>
  <si>
    <t>Order Cancelled</t>
  </si>
  <si>
    <t>Order Returned</t>
  </si>
  <si>
    <t>High Discount</t>
  </si>
  <si>
    <t>Delivery Cost Exceeded Order Value</t>
  </si>
  <si>
    <t>Low Order Value / Thin Margin</t>
  </si>
  <si>
    <t>Total Loss Orders</t>
  </si>
  <si>
    <t>Most Common Cause</t>
  </si>
  <si>
    <t>Least Common Cause</t>
  </si>
  <si>
    <t>Total Loss Amount by Cause (All Months)</t>
  </si>
  <si>
    <t>Number of Orders</t>
  </si>
  <si>
    <t>Avg Loss per Order ($)</t>
  </si>
  <si>
    <t>Grand Total</t>
  </si>
  <si>
    <t>Sum of Net Revenue</t>
  </si>
  <si>
    <t>Count of Order ID</t>
  </si>
  <si>
    <t>Sum of Net Profit</t>
  </si>
  <si>
    <t>Count of Orders</t>
  </si>
  <si>
    <t>Average of Delivery Time</t>
  </si>
  <si>
    <t>Average of Rating</t>
  </si>
  <si>
    <t>Total Profit</t>
  </si>
  <si>
    <t>Total Loss</t>
  </si>
  <si>
    <t>Revenue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</si>
</sst>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
    <numFmt numFmtId="165" formatCode="0.0%"/>
    <numFmt numFmtId="166" formatCode="0.0"/>
    <numFmt numFmtId="167" formatCode="\$#,##0.00"/>
    <numFmt numFmtId="168" formatCode="dd\-mmm\-yyyy"/>
    <numFmt numFmtId="169" formatCode="&quot;₹&quot;#,##0"/>
  </numFmts>
  <fonts count="16" x14ac:knownFonts="1">
    <font>
      <sz val="11"/>
      <color theme="1"/>
      <name val="Calibri"/>
      <family val="2"/>
      <charset val="1"/>
    </font>
    <font>
      <b/>
      <sz val="12"/>
      <color rgb="FF1F3864"/>
      <name val="Arial"/>
      <charset val="1"/>
    </font>
    <font>
      <b/>
      <sz val="10"/>
      <color rgb="FFFFFFFF"/>
      <name val="Arial"/>
      <charset val="1"/>
    </font>
    <font>
      <sz val="10"/>
      <name val="Arial"/>
      <charset val="1"/>
    </font>
    <font>
      <b/>
      <sz val="10"/>
      <name val="Arial"/>
      <charset val="1"/>
    </font>
    <font>
      <b/>
      <sz val="13"/>
      <color rgb="FFC00000"/>
      <name val="Arial"/>
      <charset val="1"/>
    </font>
    <font>
      <sz val="10"/>
      <color rgb="FF0000FF"/>
      <name val="Arial"/>
      <charset val="1"/>
    </font>
    <font>
      <b/>
      <sz val="11"/>
      <color rgb="FFFFFFFF"/>
      <name val="Arial"/>
      <charset val="1"/>
    </font>
    <font>
      <sz val="10"/>
      <name val="Arial"/>
      <family val="2"/>
    </font>
    <font>
      <b/>
      <sz val="13"/>
      <color rgb="FF1F3864"/>
      <name val="Arial"/>
      <charset val="1"/>
    </font>
    <font>
      <b/>
      <sz val="11"/>
      <color rgb="FFFFFFFF"/>
      <name val="Arial"/>
      <family val="2"/>
    </font>
    <font>
      <b/>
      <sz val="11"/>
      <color rgb="FFFFFFFF"/>
      <name val="Calibri"/>
      <family val="2"/>
      <charset val="1"/>
    </font>
    <font>
      <sz val="10"/>
      <color theme="1"/>
      <name val="Aptos"/>
      <family val="2"/>
    </font>
    <font>
      <i/>
      <sz val="9"/>
      <color theme="1" tint="0.249977111117893"/>
      <name val="Arial"/>
      <family val="2"/>
    </font>
    <font>
      <i/>
      <sz val="11"/>
      <color theme="1" tint="0.249977111117893"/>
      <name val="Calibri"/>
      <family val="2"/>
      <charset val="1"/>
    </font>
    <font>
      <sz val="10"/>
      <color theme="1"/>
      <name val="Aptos"/>
    </font>
  </fonts>
  <fills count="10">
    <fill>
      <patternFill patternType="none"/>
    </fill>
    <fill>
      <patternFill patternType="gray125"/>
    </fill>
    <fill>
      <patternFill patternType="solid">
        <fgColor rgb="FF2E5395"/>
        <bgColor rgb="FF1F3864"/>
      </patternFill>
    </fill>
    <fill>
      <patternFill patternType="solid">
        <fgColor rgb="FFD9D9D9"/>
        <bgColor rgb="FFDCE6F1"/>
      </patternFill>
    </fill>
    <fill>
      <patternFill patternType="solid">
        <fgColor rgb="FFFFFF00"/>
        <bgColor rgb="FFFFFF00"/>
      </patternFill>
    </fill>
    <fill>
      <patternFill patternType="solid">
        <fgColor rgb="FF1F3864"/>
        <bgColor rgb="FF2E5395"/>
      </patternFill>
    </fill>
    <fill>
      <patternFill patternType="solid">
        <fgColor rgb="FF072A5A"/>
        <bgColor rgb="FF2E5395"/>
      </patternFill>
    </fill>
    <fill>
      <patternFill patternType="solid">
        <fgColor rgb="FF072A5A"/>
        <bgColor indexed="64"/>
      </patternFill>
    </fill>
    <fill>
      <patternFill patternType="solid">
        <fgColor rgb="FFF4F8FC"/>
        <bgColor indexed="64"/>
      </patternFill>
    </fill>
    <fill>
      <patternFill patternType="solid">
        <fgColor theme="0" tint="-0.14999847407452621"/>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rgb="FFB7B7B7"/>
      </left>
      <right style="thin">
        <color rgb="FFB7B7B7"/>
      </right>
      <top style="thin">
        <color rgb="FFB7B7B7"/>
      </top>
      <bottom/>
      <diagonal/>
    </border>
    <border>
      <left style="thin">
        <color rgb="FFB7B7B7"/>
      </left>
      <right/>
      <top style="thin">
        <color rgb="FFB7B7B7"/>
      </top>
      <bottom style="thin">
        <color rgb="FFB7B7B7"/>
      </bottom>
      <diagonal/>
    </border>
  </borders>
  <cellStyleXfs count="1">
    <xf numFmtId="0" fontId="0" fillId="0" borderId="0"/>
  </cellStyleXfs>
  <cellXfs count="51">
    <xf numFmtId="0" fontId="0" fillId="0" borderId="0" xfId="0"/>
    <xf numFmtId="0" fontId="1" fillId="0" borderId="0" xfId="0" applyFont="1"/>
    <xf numFmtId="0" fontId="3" fillId="0" borderId="1" xfId="0" applyFont="1" applyBorder="1"/>
    <xf numFmtId="167" fontId="3" fillId="0" borderId="1" xfId="0" applyNumberFormat="1" applyFont="1" applyBorder="1"/>
    <xf numFmtId="9" fontId="3" fillId="0" borderId="1" xfId="0" applyNumberFormat="1" applyFont="1" applyBorder="1"/>
    <xf numFmtId="165" fontId="3" fillId="0" borderId="1" xfId="0" applyNumberFormat="1" applyFont="1" applyBorder="1"/>
    <xf numFmtId="168" fontId="3" fillId="0" borderId="1" xfId="0" applyNumberFormat="1" applyFont="1" applyBorder="1"/>
    <xf numFmtId="169" fontId="3" fillId="0" borderId="1" xfId="0" applyNumberFormat="1" applyFont="1" applyBorder="1"/>
    <xf numFmtId="0" fontId="10" fillId="6" borderId="2" xfId="0" applyFont="1" applyFill="1" applyBorder="1" applyAlignment="1">
      <alignment horizontal="center" vertical="center" wrapText="1"/>
    </xf>
    <xf numFmtId="0" fontId="11" fillId="7" borderId="0" xfId="0" applyFont="1" applyFill="1"/>
    <xf numFmtId="169" fontId="0" fillId="0" borderId="0" xfId="0" applyNumberFormat="1"/>
    <xf numFmtId="0" fontId="12" fillId="8" borderId="0" xfId="0" applyFont="1" applyFill="1"/>
    <xf numFmtId="169" fontId="12" fillId="8" borderId="0" xfId="0" applyNumberFormat="1" applyFont="1" applyFill="1"/>
    <xf numFmtId="165" fontId="12" fillId="8" borderId="0" xfId="0" applyNumberFormat="1" applyFont="1" applyFill="1"/>
    <xf numFmtId="3" fontId="12" fillId="8" borderId="0" xfId="0" applyNumberFormat="1" applyFont="1" applyFill="1"/>
    <xf numFmtId="166" fontId="12" fillId="8" borderId="0" xfId="0" applyNumberFormat="1" applyFont="1" applyFill="1"/>
    <xf numFmtId="2" fontId="12" fillId="8" borderId="0" xfId="0" applyNumberFormat="1" applyFont="1" applyFill="1"/>
    <xf numFmtId="0" fontId="12" fillId="8" borderId="0" xfId="0" applyFont="1" applyFill="1" applyAlignment="1">
      <alignment vertical="center"/>
    </xf>
    <xf numFmtId="0" fontId="7" fillId="5" borderId="1" xfId="0" applyFont="1" applyFill="1" applyBorder="1" applyAlignment="1">
      <alignment horizontal="center" vertical="center" wrapText="1"/>
    </xf>
    <xf numFmtId="0" fontId="7" fillId="5" borderId="1" xfId="0" applyFont="1" applyFill="1" applyBorder="1"/>
    <xf numFmtId="0" fontId="6" fillId="0" borderId="1" xfId="0" applyFont="1" applyBorder="1"/>
    <xf numFmtId="168" fontId="6" fillId="0" borderId="1" xfId="0" applyNumberFormat="1" applyFont="1" applyBorder="1"/>
    <xf numFmtId="164" fontId="6" fillId="0" borderId="1" xfId="0" applyNumberFormat="1" applyFont="1" applyBorder="1"/>
    <xf numFmtId="2" fontId="3" fillId="0" borderId="1" xfId="0" applyNumberFormat="1" applyFont="1" applyBorder="1"/>
    <xf numFmtId="166" fontId="3" fillId="0" borderId="1" xfId="0" applyNumberFormat="1" applyFont="1" applyBorder="1"/>
    <xf numFmtId="0" fontId="0" fillId="0" borderId="1" xfId="0" applyBorder="1"/>
    <xf numFmtId="0" fontId="0" fillId="0" borderId="1" xfId="0" pivotButton="1" applyBorder="1"/>
    <xf numFmtId="169" fontId="0" fillId="0" borderId="1" xfId="0" applyNumberFormat="1" applyBorder="1"/>
    <xf numFmtId="3" fontId="0" fillId="0" borderId="1" xfId="0" applyNumberFormat="1" applyBorder="1"/>
    <xf numFmtId="0" fontId="2" fillId="2" borderId="1" xfId="0" applyFont="1" applyFill="1" applyBorder="1" applyAlignment="1">
      <alignment horizontal="center" vertical="center" wrapText="1"/>
    </xf>
    <xf numFmtId="0" fontId="4" fillId="0" borderId="1" xfId="0" applyFont="1" applyBorder="1"/>
    <xf numFmtId="0" fontId="4" fillId="3" borderId="1" xfId="0" applyFont="1" applyFill="1" applyBorder="1"/>
    <xf numFmtId="0" fontId="2" fillId="2" borderId="1" xfId="0" applyFont="1" applyFill="1" applyBorder="1"/>
    <xf numFmtId="164" fontId="3" fillId="0" borderId="1" xfId="0" applyNumberFormat="1" applyFont="1" applyBorder="1"/>
    <xf numFmtId="164" fontId="4" fillId="3" borderId="1" xfId="0" applyNumberFormat="1" applyFont="1" applyFill="1" applyBorder="1"/>
    <xf numFmtId="0" fontId="4" fillId="9" borderId="1" xfId="0" applyFont="1" applyFill="1" applyBorder="1"/>
    <xf numFmtId="0" fontId="7" fillId="5" borderId="3" xfId="0" applyFont="1" applyFill="1" applyBorder="1" applyAlignment="1">
      <alignment horizontal="center" vertical="center" wrapText="1"/>
    </xf>
    <xf numFmtId="0" fontId="6" fillId="0" borderId="3" xfId="0" applyFont="1" applyBorder="1"/>
    <xf numFmtId="9" fontId="6" fillId="4" borderId="1" xfId="0" applyNumberFormat="1" applyFont="1" applyFill="1" applyBorder="1"/>
    <xf numFmtId="167" fontId="6" fillId="4" borderId="1" xfId="0" applyNumberFormat="1" applyFont="1" applyFill="1" applyBorder="1"/>
    <xf numFmtId="0" fontId="13" fillId="0" borderId="0" xfId="0" applyFont="1"/>
    <xf numFmtId="0" fontId="14" fillId="0" borderId="0" xfId="0" applyFont="1"/>
    <xf numFmtId="0" fontId="13" fillId="0" borderId="1" xfId="0" applyFont="1" applyBorder="1"/>
    <xf numFmtId="0" fontId="15" fillId="0" borderId="1" xfId="0" pivotButton="1" applyFont="1" applyBorder="1"/>
    <xf numFmtId="0" fontId="15" fillId="0" borderId="1" xfId="0" applyFont="1" applyBorder="1"/>
    <xf numFmtId="169" fontId="15" fillId="0" borderId="1" xfId="0" applyNumberFormat="1" applyFont="1" applyBorder="1"/>
    <xf numFmtId="3" fontId="15" fillId="0" borderId="1" xfId="0" applyNumberFormat="1" applyFont="1" applyBorder="1"/>
    <xf numFmtId="2" fontId="15" fillId="0" borderId="1" xfId="0" applyNumberFormat="1" applyFont="1" applyBorder="1"/>
    <xf numFmtId="0" fontId="9" fillId="0" borderId="0" xfId="0" applyFont="1"/>
    <xf numFmtId="0" fontId="5" fillId="0" borderId="0" xfId="0" applyFont="1"/>
    <xf numFmtId="0" fontId="13" fillId="0" borderId="0" xfId="0" applyFont="1"/>
  </cellXfs>
  <cellStyles count="1">
    <cellStyle name="Normal" xfId="0" builtinId="0"/>
  </cellStyles>
  <dxfs count="151">
    <dxf>
      <fill>
        <patternFill>
          <bgColor rgb="FFE2EFDA"/>
        </patternFill>
      </fill>
    </dxf>
    <dxf>
      <fill>
        <patternFill>
          <bgColor rgb="FFFFF2CC"/>
        </patternFill>
      </fill>
    </dxf>
    <dxf>
      <fill>
        <patternFill>
          <bgColor rgb="FFFCE4E4"/>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9" formatCode="&quot;₹&quot;#,##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numFmt numFmtId="169" formatCode="&quot;₹&quot;#,##0"/>
      <border diagonalUp="0" diagonalDown="0" outline="0">
        <left style="thin">
          <color indexed="64"/>
        </left>
        <right style="thin">
          <color indexed="64"/>
        </right>
        <top style="thin">
          <color indexed="64"/>
        </top>
        <bottom style="thin">
          <color indexed="64"/>
        </bottom>
      </border>
    </dxf>
    <dxf>
      <numFmt numFmtId="169" formatCode="&quot;₹&quot;#,##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9" formatCode="&quot;₹&quot;#,##0"/>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outline="0">
        <left style="thin">
          <color indexed="64"/>
        </left>
        <right style="thin">
          <color indexed="64"/>
        </right>
        <top style="thin">
          <color indexed="64"/>
        </top>
        <bottom style="thin">
          <color indexed="64"/>
        </bottom>
      </border>
    </dxf>
    <dxf>
      <numFmt numFmtId="168" formatCode="dd\-mmm\-yyyy"/>
      <border diagonalUp="0" diagonalDown="0" outline="0">
        <left style="thin">
          <color indexed="64"/>
        </left>
        <right style="thin">
          <color indexed="64"/>
        </right>
        <top style="thin">
          <color indexed="64"/>
        </top>
        <bottom style="thin">
          <color indexed="64"/>
        </bottom>
      </border>
    </dxf>
    <dxf>
      <border diagonalUp="0" diagonalDown="0" outline="0">
        <left style="thin">
          <color indexed="64"/>
        </left>
        <right style="thin">
          <color indexed="64"/>
        </right>
        <top style="thin">
          <color indexed="64"/>
        </top>
        <bottom style="thin">
          <color indexed="64"/>
        </bottom>
      </border>
    </dxf>
    <dxf>
      <font>
        <b/>
        <color rgb="FFFFFFFF"/>
      </font>
      <fill>
        <patternFill patternType="solid">
          <bgColor rgb="FF072A5A"/>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name val="Aptos"/>
      </font>
    </dxf>
    <dxf>
      <font>
        <name val="Aptos"/>
      </font>
    </dxf>
    <dxf>
      <font>
        <name val="Aptos"/>
      </font>
    </dxf>
    <dxf>
      <numFmt numFmtId="2" formatCode="0.00"/>
    </dxf>
    <dxf>
      <numFmt numFmtId="2" formatCode="0.00"/>
    </dxf>
    <dxf>
      <numFmt numFmtId="3" formatCode="#,##0"/>
    </dxf>
    <dxf>
      <numFmt numFmtId="169" formatCode="&quot;₹&quo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sz val="10"/>
      </font>
    </dxf>
    <dxf>
      <font>
        <sz val="10"/>
      </font>
    </dxf>
    <dxf>
      <font>
        <sz val="10"/>
      </font>
    </dxf>
    <dxf>
      <font>
        <sz val="10"/>
      </font>
    </dxf>
    <dxf>
      <font>
        <sz val="10"/>
      </font>
    </dxf>
    <dxf>
      <font>
        <sz val="10"/>
      </font>
    </dxf>
    <dxf>
      <font>
        <name val="Aptos"/>
      </font>
    </dxf>
    <dxf>
      <font>
        <name val="Aptos"/>
      </font>
    </dxf>
    <dxf>
      <font>
        <name val="Aptos"/>
      </font>
    </dxf>
    <dxf>
      <font>
        <name val="Aptos"/>
      </font>
    </dxf>
    <dxf>
      <font>
        <name val="Aptos"/>
      </font>
    </dxf>
    <dxf>
      <font>
        <name val="Aptos"/>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F423F"/>
      <rgbColor rgb="FFFFF2CC"/>
      <rgbColor rgb="FFDCE6F1"/>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9F9F9"/>
      <rgbColor rgb="FFE2EFDA"/>
      <rgbColor rgb="FFFFFF99"/>
      <rgbColor rgb="FF99CCFF"/>
      <rgbColor rgb="FFD8AAA9"/>
      <rgbColor rgb="FFCC99FF"/>
      <rgbColor rgb="FFFCE4E4"/>
      <rgbColor rgb="FF4F81BD"/>
      <rgbColor rgb="FF4BACC6"/>
      <rgbColor rgb="FF9BBB59"/>
      <rgbColor rgb="FFFFCC00"/>
      <rgbColor rgb="FFFF9900"/>
      <rgbColor rgb="FFFF6600"/>
      <rgbColor rgb="FF8064A2"/>
      <rgbColor rgb="FF878787"/>
      <rgbColor rgb="FF1F3864"/>
      <rgbColor rgb="FF339966"/>
      <rgbColor rgb="FF003300"/>
      <rgbColor rgb="FF333300"/>
      <rgbColor rgb="FFC0504D"/>
      <rgbColor rgb="FFBE4B48"/>
      <rgbColor rgb="FF2E5395"/>
      <rgbColor rgb="FF59595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s>
</file>

<file path=xl/charts/_rels/chart4.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8326E"/>
                </a:solidFill>
              </a:defRPr>
            </a:pPr>
            <a:r>
              <a:rPr lang="en-IN" sz="1200" b="1">
                <a:solidFill>
                  <a:srgbClr val="08326E"/>
                </a:solidFill>
              </a:rPr>
              <a:t>Revenue by Category</a:t>
            </a:r>
          </a:p>
        </c:rich>
      </c:tx>
      <c:overlay val="0"/>
    </c:title>
    <c:autoTitleDeleted val="0"/>
    <c:plotArea>
      <c:layout/>
      <c:barChart>
        <c:barDir val="col"/>
        <c:grouping val="clustered"/>
        <c:varyColors val="0"/>
        <c:ser>
          <c:idx val="0"/>
          <c:order val="0"/>
          <c:tx>
            <c:strRef>
              <c:f>Pivot!$B$50</c:f>
              <c:strCache>
                <c:ptCount val="1"/>
                <c:pt idx="0">
                  <c:v>Revenue</c:v>
                </c:pt>
              </c:strCache>
            </c:strRef>
          </c:tx>
          <c:spPr>
            <a:gradFill flip="none" rotWithShape="1">
              <a:gsLst>
                <a:gs pos="0">
                  <a:srgbClr val="0F4C96"/>
                </a:gs>
                <a:gs pos="100000">
                  <a:srgbClr val="4091DE"/>
                </a:gs>
              </a:gsLst>
              <a:lin ang="0" scaled="1"/>
              <a:tileRect/>
            </a:gradFill>
            <a:ln>
              <a:solidFill>
                <a:srgbClr val="072A5A"/>
              </a:solidFill>
            </a:ln>
          </c:spPr>
          <c:invertIfNegative val="0"/>
          <c:dLbls>
            <c:numFmt formatCode="&quot;₹&quot;#,##0" sourceLinked="0"/>
            <c:spPr>
              <a:noFill/>
              <a:ln>
                <a:noFill/>
              </a:ln>
              <a:effectLst/>
            </c:spPr>
            <c:txPr>
              <a:bodyPr wrap="square" lIns="38100" tIns="19050" rIns="38100" bIns="19050" anchor="ctr">
                <a:spAutoFit/>
              </a:bodyPr>
              <a:lstStyle/>
              <a:p>
                <a:pPr>
                  <a:defRPr sz="800" b="1">
                    <a:solidFill>
                      <a:srgbClr val="373737"/>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Pivot!$A$51:$A$56</c:f>
              <c:strCache>
                <c:ptCount val="6"/>
                <c:pt idx="0">
                  <c:v>Electronics</c:v>
                </c:pt>
                <c:pt idx="1">
                  <c:v>Fashion</c:v>
                </c:pt>
                <c:pt idx="2">
                  <c:v>Food &amp; Beverage</c:v>
                </c:pt>
                <c:pt idx="3">
                  <c:v>Grocery</c:v>
                </c:pt>
                <c:pt idx="4">
                  <c:v>Home &amp; Living</c:v>
                </c:pt>
                <c:pt idx="5">
                  <c:v>Pharmacy</c:v>
                </c:pt>
              </c:strCache>
            </c:strRef>
          </c:cat>
          <c:val>
            <c:numRef>
              <c:f>Pivot!$B$51:$B$56</c:f>
              <c:numCache>
                <c:formatCode>"₹"#,##0</c:formatCode>
                <c:ptCount val="6"/>
                <c:pt idx="0">
                  <c:v>179205.201</c:v>
                </c:pt>
                <c:pt idx="1">
                  <c:v>74673.84599999999</c:v>
                </c:pt>
                <c:pt idx="2">
                  <c:v>22663.750999999997</c:v>
                </c:pt>
                <c:pt idx="3">
                  <c:v>31986.249499999994</c:v>
                </c:pt>
                <c:pt idx="4">
                  <c:v>56806.625999999997</c:v>
                </c:pt>
                <c:pt idx="5">
                  <c:v>17339.38</c:v>
                </c:pt>
              </c:numCache>
            </c:numRef>
          </c:val>
          <c:extLst>
            <c:ext xmlns:c16="http://schemas.microsoft.com/office/drawing/2014/chart" uri="{C3380CC4-5D6E-409C-BE32-E72D297353CC}">
              <c16:uniqueId val="{00000000-4516-409D-976B-2B8C56B37084}"/>
            </c:ext>
          </c:extLst>
        </c:ser>
        <c:dLbls>
          <c:showLegendKey val="0"/>
          <c:showVal val="0"/>
          <c:showCatName val="0"/>
          <c:showSerName val="0"/>
          <c:showPercent val="0"/>
          <c:showBubbleSize val="0"/>
        </c:dLbls>
        <c:gapWidth val="150"/>
        <c:axId val="829538944"/>
        <c:axId val="829552384"/>
      </c:barChart>
      <c:catAx>
        <c:axId val="829538944"/>
        <c:scaling>
          <c:orientation val="minMax"/>
        </c:scaling>
        <c:delete val="0"/>
        <c:axPos val="b"/>
        <c:numFmt formatCode="General" sourceLinked="1"/>
        <c:majorTickMark val="out"/>
        <c:minorTickMark val="none"/>
        <c:tickLblPos val="nextTo"/>
        <c:spPr>
          <a:ln>
            <a:solidFill>
              <a:srgbClr val="D2D2D2"/>
            </a:solidFill>
          </a:ln>
        </c:spPr>
        <c:crossAx val="829552384"/>
        <c:crosses val="autoZero"/>
        <c:auto val="1"/>
        <c:lblAlgn val="ctr"/>
        <c:lblOffset val="100"/>
        <c:noMultiLvlLbl val="0"/>
      </c:catAx>
      <c:valAx>
        <c:axId val="829552384"/>
        <c:scaling>
          <c:orientation val="minMax"/>
        </c:scaling>
        <c:delete val="0"/>
        <c:axPos val="l"/>
        <c:majorGridlines>
          <c:spPr>
            <a:ln w="6350">
              <a:solidFill>
                <a:srgbClr val="E6EBF5"/>
              </a:solidFill>
            </a:ln>
          </c:spPr>
        </c:majorGridlines>
        <c:numFmt formatCode="&quot;₹&quot;#,##0" sourceLinked="0"/>
        <c:majorTickMark val="out"/>
        <c:minorTickMark val="none"/>
        <c:tickLblPos val="nextTo"/>
        <c:spPr>
          <a:ln>
            <a:solidFill>
              <a:srgbClr val="D2D2D2"/>
            </a:solidFill>
          </a:ln>
        </c:spPr>
        <c:crossAx val="829538944"/>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BDCEE"/>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8326E"/>
                </a:solidFill>
              </a:defRPr>
            </a:pPr>
            <a:r>
              <a:rPr lang="en-IN" sz="1200" b="1">
                <a:solidFill>
                  <a:srgbClr val="08326E"/>
                </a:solidFill>
              </a:rPr>
              <a:t>Revenue by City</a:t>
            </a:r>
          </a:p>
        </c:rich>
      </c:tx>
      <c:overlay val="0"/>
    </c:title>
    <c:autoTitleDeleted val="0"/>
    <c:plotArea>
      <c:layout>
        <c:manualLayout>
          <c:xMode val="edge"/>
          <c:yMode val="edge"/>
          <c:x val="3.8807114343426194E-2"/>
          <c:y val="0.14098765432098764"/>
          <c:w val="0.28013726931898869"/>
          <c:h val="0.75592592592592589"/>
        </c:manualLayout>
      </c:layout>
      <c:doughnutChart>
        <c:varyColors val="1"/>
        <c:ser>
          <c:idx val="0"/>
          <c:order val="0"/>
          <c:tx>
            <c:strRef>
              <c:f>Pivot!$E$50</c:f>
              <c:strCache>
                <c:ptCount val="1"/>
                <c:pt idx="0">
                  <c:v>Revenue</c:v>
                </c:pt>
              </c:strCache>
            </c:strRef>
          </c:tx>
          <c:dPt>
            <c:idx val="0"/>
            <c:bubble3D val="0"/>
            <c:spPr>
              <a:solidFill>
                <a:srgbClr val="0F4C96"/>
              </a:solidFill>
              <a:ln>
                <a:solidFill>
                  <a:srgbClr val="FFFFFF"/>
                </a:solidFill>
              </a:ln>
            </c:spPr>
            <c:extLst>
              <c:ext xmlns:c16="http://schemas.microsoft.com/office/drawing/2014/chart" uri="{C3380CC4-5D6E-409C-BE32-E72D297353CC}">
                <c16:uniqueId val="{00000001-9785-4BC4-AE6F-AB71195A8EDE}"/>
              </c:ext>
            </c:extLst>
          </c:dPt>
          <c:dPt>
            <c:idx val="1"/>
            <c:bubble3D val="0"/>
            <c:spPr>
              <a:solidFill>
                <a:srgbClr val="E67E22"/>
              </a:solidFill>
              <a:ln>
                <a:solidFill>
                  <a:srgbClr val="FFFFFF"/>
                </a:solidFill>
              </a:ln>
            </c:spPr>
            <c:extLst>
              <c:ext xmlns:c16="http://schemas.microsoft.com/office/drawing/2014/chart" uri="{C3380CC4-5D6E-409C-BE32-E72D297353CC}">
                <c16:uniqueId val="{00000002-9785-4BC4-AE6F-AB71195A8EDE}"/>
              </c:ext>
            </c:extLst>
          </c:dPt>
          <c:dPt>
            <c:idx val="2"/>
            <c:bubble3D val="0"/>
            <c:spPr>
              <a:solidFill>
                <a:srgbClr val="4091DE"/>
              </a:solidFill>
              <a:ln>
                <a:solidFill>
                  <a:srgbClr val="FFFFFF"/>
                </a:solidFill>
              </a:ln>
            </c:spPr>
            <c:extLst>
              <c:ext xmlns:c16="http://schemas.microsoft.com/office/drawing/2014/chart" uri="{C3380CC4-5D6E-409C-BE32-E72D297353CC}">
                <c16:uniqueId val="{00000003-9785-4BC4-AE6F-AB71195A8EDE}"/>
              </c:ext>
            </c:extLst>
          </c:dPt>
          <c:dPt>
            <c:idx val="3"/>
            <c:bubble3D val="0"/>
            <c:spPr>
              <a:solidFill>
                <a:srgbClr val="2E8B57"/>
              </a:solidFill>
              <a:ln>
                <a:solidFill>
                  <a:srgbClr val="FFFFFF"/>
                </a:solidFill>
              </a:ln>
            </c:spPr>
            <c:extLst>
              <c:ext xmlns:c16="http://schemas.microsoft.com/office/drawing/2014/chart" uri="{C3380CC4-5D6E-409C-BE32-E72D297353CC}">
                <c16:uniqueId val="{00000004-9785-4BC4-AE6F-AB71195A8EDE}"/>
              </c:ext>
            </c:extLst>
          </c:dPt>
          <c:dPt>
            <c:idx val="4"/>
            <c:bubble3D val="0"/>
            <c:spPr>
              <a:solidFill>
                <a:srgbClr val="9B59B6"/>
              </a:solidFill>
              <a:ln>
                <a:solidFill>
                  <a:srgbClr val="FFFFFF"/>
                </a:solidFill>
              </a:ln>
            </c:spPr>
            <c:extLst>
              <c:ext xmlns:c16="http://schemas.microsoft.com/office/drawing/2014/chart" uri="{C3380CC4-5D6E-409C-BE32-E72D297353CC}">
                <c16:uniqueId val="{00000005-9785-4BC4-AE6F-AB71195A8EDE}"/>
              </c:ext>
            </c:extLst>
          </c:dPt>
          <c:dPt>
            <c:idx val="5"/>
            <c:bubble3D val="0"/>
            <c:spPr>
              <a:solidFill>
                <a:srgbClr val="F1C40F"/>
              </a:solidFill>
              <a:ln>
                <a:solidFill>
                  <a:srgbClr val="FFFFFF"/>
                </a:solidFill>
              </a:ln>
            </c:spPr>
            <c:extLst>
              <c:ext xmlns:c16="http://schemas.microsoft.com/office/drawing/2014/chart" uri="{C3380CC4-5D6E-409C-BE32-E72D297353CC}">
                <c16:uniqueId val="{00000006-9785-4BC4-AE6F-AB71195A8EDE}"/>
              </c:ext>
            </c:extLst>
          </c:dPt>
          <c:dPt>
            <c:idx val="6"/>
            <c:bubble3D val="0"/>
            <c:spPr>
              <a:solidFill>
                <a:srgbClr val="95A5A6"/>
              </a:solidFill>
              <a:ln>
                <a:solidFill>
                  <a:srgbClr val="FFFFFF"/>
                </a:solidFill>
              </a:ln>
            </c:spPr>
            <c:extLst>
              <c:ext xmlns:c16="http://schemas.microsoft.com/office/drawing/2014/chart" uri="{C3380CC4-5D6E-409C-BE32-E72D297353CC}">
                <c16:uniqueId val="{00000007-9785-4BC4-AE6F-AB71195A8EDE}"/>
              </c:ext>
            </c:extLst>
          </c:dPt>
          <c:dPt>
            <c:idx val="7"/>
            <c:bubble3D val="0"/>
            <c:spPr>
              <a:solidFill>
                <a:srgbClr val="C0392B"/>
              </a:solidFill>
              <a:ln>
                <a:solidFill>
                  <a:srgbClr val="FFFFFF"/>
                </a:solidFill>
              </a:ln>
            </c:spPr>
            <c:extLst>
              <c:ext xmlns:c16="http://schemas.microsoft.com/office/drawing/2014/chart" uri="{C3380CC4-5D6E-409C-BE32-E72D297353CC}">
                <c16:uniqueId val="{00000008-9785-4BC4-AE6F-AB71195A8EDE}"/>
              </c:ext>
            </c:extLst>
          </c:dPt>
          <c:dLbls>
            <c:numFmt formatCode="&quot;₹&quot;#,##0" sourceLinked="0"/>
            <c:spPr>
              <a:noFill/>
              <a:ln>
                <a:noFill/>
              </a:ln>
              <a:effectLst/>
            </c:spPr>
            <c:txPr>
              <a:bodyPr wrap="square" lIns="38100" tIns="19050" rIns="38100" bIns="19050" anchor="ctr">
                <a:spAutoFit/>
              </a:bodyPr>
              <a:lstStyle/>
              <a:p>
                <a:pPr>
                  <a:defRPr sz="800" b="1">
                    <a:solidFill>
                      <a:srgbClr val="FFFFFF"/>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Pivot!$D$51:$D$58</c:f>
              <c:strCache>
                <c:ptCount val="8"/>
                <c:pt idx="0">
                  <c:v>Bengaluru</c:v>
                </c:pt>
                <c:pt idx="1">
                  <c:v>Bhubaneswar</c:v>
                </c:pt>
                <c:pt idx="2">
                  <c:v>Chennai</c:v>
                </c:pt>
                <c:pt idx="3">
                  <c:v>Delhi</c:v>
                </c:pt>
                <c:pt idx="4">
                  <c:v>Hyderabad</c:v>
                </c:pt>
                <c:pt idx="5">
                  <c:v>Kolkata</c:v>
                </c:pt>
                <c:pt idx="6">
                  <c:v>Mumbai</c:v>
                </c:pt>
                <c:pt idx="7">
                  <c:v>Pune</c:v>
                </c:pt>
              </c:strCache>
            </c:strRef>
          </c:cat>
          <c:val>
            <c:numRef>
              <c:f>Pivot!$E$51:$E$58</c:f>
              <c:numCache>
                <c:formatCode>"₹"#,##0</c:formatCode>
                <c:ptCount val="8"/>
                <c:pt idx="0">
                  <c:v>62297.480500000005</c:v>
                </c:pt>
                <c:pt idx="1">
                  <c:v>40778.362000000001</c:v>
                </c:pt>
                <c:pt idx="2">
                  <c:v>38687.255000000005</c:v>
                </c:pt>
                <c:pt idx="3">
                  <c:v>43207.195</c:v>
                </c:pt>
                <c:pt idx="4">
                  <c:v>47101.950999999986</c:v>
                </c:pt>
                <c:pt idx="5">
                  <c:v>25854.540499999996</c:v>
                </c:pt>
                <c:pt idx="6">
                  <c:v>51737.584999999999</c:v>
                </c:pt>
                <c:pt idx="7">
                  <c:v>73010.684500000003</c:v>
                </c:pt>
              </c:numCache>
            </c:numRef>
          </c:val>
          <c:extLst>
            <c:ext xmlns:c16="http://schemas.microsoft.com/office/drawing/2014/chart" uri="{C3380CC4-5D6E-409C-BE32-E72D297353CC}">
              <c16:uniqueId val="{00000000-9785-4BC4-AE6F-AB71195A8EDE}"/>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3441113861412881"/>
          <c:y val="0.15067901234567901"/>
          <c:w val="0.46558882536096058"/>
          <c:h val="0.72222222222222221"/>
        </c:manualLayout>
      </c:layout>
      <c:overlay val="0"/>
      <c:txPr>
        <a:bodyPr/>
        <a:lstStyle/>
        <a:p>
          <a:pPr>
            <a:defRPr sz="1200"/>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BDCEE"/>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8326E"/>
                </a:solidFill>
              </a:defRPr>
            </a:pPr>
            <a:r>
              <a:rPr lang="en-IN" sz="1200" b="1">
                <a:solidFill>
                  <a:srgbClr val="08326E"/>
                </a:solidFill>
              </a:rPr>
              <a:t>Monthly Revenue Trend</a:t>
            </a:r>
          </a:p>
        </c:rich>
      </c:tx>
      <c:overlay val="0"/>
    </c:title>
    <c:autoTitleDeleted val="0"/>
    <c:plotArea>
      <c:layout/>
      <c:lineChart>
        <c:grouping val="standard"/>
        <c:varyColors val="0"/>
        <c:ser>
          <c:idx val="0"/>
          <c:order val="0"/>
          <c:tx>
            <c:strRef>
              <c:f>Pivot!$H$50</c:f>
              <c:strCache>
                <c:ptCount val="1"/>
                <c:pt idx="0">
                  <c:v>Revenue</c:v>
                </c:pt>
              </c:strCache>
            </c:strRef>
          </c:tx>
          <c:spPr>
            <a:ln w="28575">
              <a:solidFill>
                <a:srgbClr val="0F4C96"/>
              </a:solidFill>
            </a:ln>
          </c:spPr>
          <c:marker>
            <c:symbol val="circle"/>
            <c:size val="6"/>
            <c:spPr>
              <a:solidFill>
                <a:srgbClr val="4091DE"/>
              </a:solidFill>
              <a:ln w="28575">
                <a:solidFill>
                  <a:srgbClr val="0F4C96"/>
                </a:solidFill>
                <a:prstDash val="solid"/>
              </a:ln>
            </c:spPr>
          </c:marker>
          <c:dLbls>
            <c:numFmt formatCode="&quot;₹&quot;#,##0" sourceLinked="0"/>
            <c:spPr>
              <a:noFill/>
              <a:ln>
                <a:noFill/>
              </a:ln>
              <a:effectLst/>
            </c:spPr>
            <c:txPr>
              <a:bodyPr wrap="square" lIns="38100" tIns="19050" rIns="38100" bIns="19050" anchor="ctr">
                <a:spAutoFit/>
              </a:bodyPr>
              <a:lstStyle/>
              <a:p>
                <a:pPr>
                  <a:defRPr sz="800" b="1">
                    <a:solidFill>
                      <a:srgbClr val="08326E"/>
                    </a:solidFill>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Pivot!$G$51:$G$56</c:f>
              <c:strCache>
                <c:ptCount val="6"/>
                <c:pt idx="0">
                  <c:v>Apr-2026</c:v>
                </c:pt>
                <c:pt idx="1">
                  <c:v>Feb-2026</c:v>
                </c:pt>
                <c:pt idx="2">
                  <c:v>Jan-2026</c:v>
                </c:pt>
                <c:pt idx="3">
                  <c:v>Jun-2026</c:v>
                </c:pt>
                <c:pt idx="4">
                  <c:v>Mar-2026</c:v>
                </c:pt>
                <c:pt idx="5">
                  <c:v>May-2026</c:v>
                </c:pt>
              </c:strCache>
            </c:strRef>
          </c:cat>
          <c:val>
            <c:numRef>
              <c:f>Pivot!$H$51:$H$56</c:f>
              <c:numCache>
                <c:formatCode>"₹"#,##0</c:formatCode>
                <c:ptCount val="6"/>
                <c:pt idx="0">
                  <c:v>72152.268000000011</c:v>
                </c:pt>
                <c:pt idx="1">
                  <c:v>69670.656499999997</c:v>
                </c:pt>
                <c:pt idx="2">
                  <c:v>40682.241499999996</c:v>
                </c:pt>
                <c:pt idx="3">
                  <c:v>54727.283500000012</c:v>
                </c:pt>
                <c:pt idx="4">
                  <c:v>81661.369000000006</c:v>
                </c:pt>
                <c:pt idx="5">
                  <c:v>63781.234999999993</c:v>
                </c:pt>
              </c:numCache>
            </c:numRef>
          </c:val>
          <c:smooth val="0"/>
          <c:extLst>
            <c:ext xmlns:c16="http://schemas.microsoft.com/office/drawing/2014/chart" uri="{C3380CC4-5D6E-409C-BE32-E72D297353CC}">
              <c16:uniqueId val="{00000000-0A63-4952-B66E-B126761B6FC3}"/>
            </c:ext>
          </c:extLst>
        </c:ser>
        <c:dLbls>
          <c:showLegendKey val="0"/>
          <c:showVal val="0"/>
          <c:showCatName val="0"/>
          <c:showSerName val="0"/>
          <c:showPercent val="0"/>
          <c:showBubbleSize val="0"/>
        </c:dLbls>
        <c:marker val="1"/>
        <c:smooth val="0"/>
        <c:axId val="829548544"/>
        <c:axId val="829544704"/>
      </c:lineChart>
      <c:catAx>
        <c:axId val="829548544"/>
        <c:scaling>
          <c:orientation val="minMax"/>
        </c:scaling>
        <c:delete val="0"/>
        <c:axPos val="b"/>
        <c:numFmt formatCode="General" sourceLinked="1"/>
        <c:majorTickMark val="out"/>
        <c:minorTickMark val="none"/>
        <c:tickLblPos val="nextTo"/>
        <c:spPr>
          <a:ln>
            <a:solidFill>
              <a:srgbClr val="D2D2D2"/>
            </a:solidFill>
          </a:ln>
        </c:spPr>
        <c:crossAx val="829544704"/>
        <c:crosses val="autoZero"/>
        <c:auto val="1"/>
        <c:lblAlgn val="ctr"/>
        <c:lblOffset val="100"/>
        <c:noMultiLvlLbl val="0"/>
      </c:catAx>
      <c:valAx>
        <c:axId val="829544704"/>
        <c:scaling>
          <c:orientation val="minMax"/>
        </c:scaling>
        <c:delete val="0"/>
        <c:axPos val="l"/>
        <c:majorGridlines>
          <c:spPr>
            <a:ln w="6350">
              <a:solidFill>
                <a:srgbClr val="E6EBF5"/>
              </a:solidFill>
            </a:ln>
          </c:spPr>
        </c:majorGridlines>
        <c:numFmt formatCode="&quot;₹&quot;#,##0" sourceLinked="0"/>
        <c:majorTickMark val="out"/>
        <c:minorTickMark val="none"/>
        <c:tickLblPos val="nextTo"/>
        <c:spPr>
          <a:ln>
            <a:solidFill>
              <a:srgbClr val="D2D2D2"/>
            </a:solidFill>
          </a:ln>
        </c:spPr>
        <c:crossAx val="829548544"/>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BDCEE"/>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200" b="1" i="0" u="none" strike="noStrike" kern="1200" baseline="0">
                <a:solidFill>
                  <a:srgbClr val="08326E"/>
                </a:solidFill>
                <a:latin typeface="+mn-lt"/>
                <a:ea typeface="+mn-ea"/>
                <a:cs typeface="+mn-cs"/>
              </a:defRPr>
            </a:pPr>
            <a:r>
              <a:rPr lang="en-IN" sz="1200" b="1">
                <a:solidFill>
                  <a:srgbClr val="08326E"/>
                </a:solidFill>
              </a:rPr>
              <a:t>Profit vs Loss by Month</a:t>
            </a:r>
          </a:p>
        </c:rich>
      </c:tx>
      <c:overlay val="0"/>
      <c:spPr>
        <a:noFill/>
        <a:ln>
          <a:noFill/>
        </a:ln>
        <a:effectLst/>
      </c:spPr>
      <c:txPr>
        <a:bodyPr rot="0" spcFirstLastPara="1" vertOverflow="ellipsis" vert="horz" wrap="square" anchor="ctr" anchorCtr="1"/>
        <a:lstStyle/>
        <a:p>
          <a:pPr>
            <a:defRPr sz="1200" b="1" i="0" u="none" strike="noStrike" kern="1200" baseline="0">
              <a:solidFill>
                <a:srgbClr val="08326E"/>
              </a:solidFill>
              <a:latin typeface="+mn-lt"/>
              <a:ea typeface="+mn-ea"/>
              <a:cs typeface="+mn-cs"/>
            </a:defRPr>
          </a:pPr>
          <a:endParaRPr lang="en-US"/>
        </a:p>
      </c:txPr>
    </c:title>
    <c:autoTitleDeleted val="0"/>
    <c:plotArea>
      <c:layout/>
      <c:barChart>
        <c:barDir val="col"/>
        <c:grouping val="clustered"/>
        <c:varyColors val="0"/>
        <c:ser>
          <c:idx val="0"/>
          <c:order val="0"/>
          <c:tx>
            <c:strRef>
              <c:f>Pivot!$N$50</c:f>
              <c:strCache>
                <c:ptCount val="1"/>
                <c:pt idx="0">
                  <c:v>Total Profit</c:v>
                </c:pt>
              </c:strCache>
            </c:strRef>
          </c:tx>
          <c:spPr>
            <a:solidFill>
              <a:schemeClr val="accent1">
                <a:shade val="76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737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Apr-2026</c:v>
                </c:pt>
                <c:pt idx="1">
                  <c:v>Feb-2026</c:v>
                </c:pt>
                <c:pt idx="2">
                  <c:v>Jan-2026</c:v>
                </c:pt>
                <c:pt idx="3">
                  <c:v>Jun-2026</c:v>
                </c:pt>
                <c:pt idx="4">
                  <c:v>Mar-2026</c:v>
                </c:pt>
                <c:pt idx="5">
                  <c:v>May-2026</c:v>
                </c:pt>
              </c:strCache>
            </c:strRef>
          </c:cat>
          <c:val>
            <c:numRef>
              <c:f>Pivot!$N$51:$N$56</c:f>
              <c:numCache>
                <c:formatCode>"₹"#,##0</c:formatCode>
                <c:ptCount val="6"/>
                <c:pt idx="0">
                  <c:v>14454.470000000003</c:v>
                </c:pt>
                <c:pt idx="1">
                  <c:v>15949.249499999998</c:v>
                </c:pt>
                <c:pt idx="2">
                  <c:v>10237.417700000002</c:v>
                </c:pt>
                <c:pt idx="3">
                  <c:v>10522.553499999998</c:v>
                </c:pt>
                <c:pt idx="4">
                  <c:v>12522.4838</c:v>
                </c:pt>
                <c:pt idx="5">
                  <c:v>13475.930899999996</c:v>
                </c:pt>
              </c:numCache>
            </c:numRef>
          </c:val>
          <c:extLst>
            <c:ext xmlns:c16="http://schemas.microsoft.com/office/drawing/2014/chart" uri="{C3380CC4-5D6E-409C-BE32-E72D297353CC}">
              <c16:uniqueId val="{00000000-F81E-4FB5-970E-907538026E14}"/>
            </c:ext>
          </c:extLst>
        </c:ser>
        <c:ser>
          <c:idx val="1"/>
          <c:order val="1"/>
          <c:tx>
            <c:strRef>
              <c:f>Pivot!$O$50</c:f>
              <c:strCache>
                <c:ptCount val="1"/>
                <c:pt idx="0">
                  <c:v>Total Loss</c:v>
                </c:pt>
              </c:strCache>
            </c:strRef>
          </c:tx>
          <c:spPr>
            <a:solidFill>
              <a:schemeClr val="accent1">
                <a:tint val="77000"/>
              </a:scheme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rgbClr val="373737"/>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Apr-2026</c:v>
                </c:pt>
                <c:pt idx="1">
                  <c:v>Feb-2026</c:v>
                </c:pt>
                <c:pt idx="2">
                  <c:v>Jan-2026</c:v>
                </c:pt>
                <c:pt idx="3">
                  <c:v>Jun-2026</c:v>
                </c:pt>
                <c:pt idx="4">
                  <c:v>Mar-2026</c:v>
                </c:pt>
                <c:pt idx="5">
                  <c:v>May-2026</c:v>
                </c:pt>
              </c:strCache>
            </c:strRef>
          </c:cat>
          <c:val>
            <c:numRef>
              <c:f>Pivot!$O$51:$O$56</c:f>
              <c:numCache>
                <c:formatCode>"₹"#,##0</c:formatCode>
                <c:ptCount val="6"/>
                <c:pt idx="0">
                  <c:v>1332.6186</c:v>
                </c:pt>
                <c:pt idx="1">
                  <c:v>2522.8720999999996</c:v>
                </c:pt>
                <c:pt idx="2">
                  <c:v>4344.5772999999999</c:v>
                </c:pt>
                <c:pt idx="3">
                  <c:v>14136.774400000002</c:v>
                </c:pt>
                <c:pt idx="4">
                  <c:v>3182.2317000000003</c:v>
                </c:pt>
                <c:pt idx="5">
                  <c:v>9123.1602000000021</c:v>
                </c:pt>
              </c:numCache>
            </c:numRef>
          </c:val>
          <c:extLst>
            <c:ext xmlns:c16="http://schemas.microsoft.com/office/drawing/2014/chart" uri="{C3380CC4-5D6E-409C-BE32-E72D297353CC}">
              <c16:uniqueId val="{00000001-F81E-4FB5-970E-907538026E14}"/>
            </c:ext>
          </c:extLst>
        </c:ser>
        <c:dLbls>
          <c:showLegendKey val="0"/>
          <c:showVal val="0"/>
          <c:showCatName val="0"/>
          <c:showSerName val="0"/>
          <c:showPercent val="0"/>
          <c:showBubbleSize val="0"/>
        </c:dLbls>
        <c:gapWidth val="150"/>
        <c:axId val="829546144"/>
        <c:axId val="829548064"/>
      </c:barChart>
      <c:catAx>
        <c:axId val="829546144"/>
        <c:scaling>
          <c:orientation val="minMax"/>
        </c:scaling>
        <c:delete val="0"/>
        <c:axPos val="b"/>
        <c:numFmt formatCode="General" sourceLinked="1"/>
        <c:majorTickMark val="out"/>
        <c:minorTickMark val="none"/>
        <c:tickLblPos val="nextTo"/>
        <c:spPr>
          <a:noFill/>
          <a:ln w="9525" cap="flat" cmpd="sng" algn="ctr">
            <a:solidFill>
              <a:srgbClr val="D2D2D2"/>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29548064"/>
        <c:crosses val="autoZero"/>
        <c:auto val="1"/>
        <c:lblAlgn val="ctr"/>
        <c:lblOffset val="100"/>
        <c:noMultiLvlLbl val="0"/>
      </c:catAx>
      <c:valAx>
        <c:axId val="829548064"/>
        <c:scaling>
          <c:orientation val="minMax"/>
        </c:scaling>
        <c:delete val="0"/>
        <c:axPos val="l"/>
        <c:majorGridlines>
          <c:spPr>
            <a:ln w="6350" cap="flat" cmpd="sng" algn="ctr">
              <a:solidFill>
                <a:srgbClr val="E6EBF5"/>
              </a:solidFill>
              <a:prstDash val="solid"/>
              <a:round/>
            </a:ln>
            <a:effectLst/>
          </c:spPr>
        </c:majorGridlines>
        <c:numFmt formatCode="&quot;₹&quot;#,##0" sourceLinked="0"/>
        <c:majorTickMark val="out"/>
        <c:minorTickMark val="none"/>
        <c:tickLblPos val="nextTo"/>
        <c:spPr>
          <a:noFill/>
          <a:ln w="9525" cap="flat" cmpd="sng" algn="ctr">
            <a:solidFill>
              <a:srgbClr val="D2D2D2"/>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829546144"/>
        <c:crosses val="autoZero"/>
        <c:crossBetween val="between"/>
      </c:valAx>
      <c:spPr>
        <a:solidFill>
          <a:srgbClr val="FFFFFF"/>
        </a:solid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cap="flat" cmpd="sng" algn="ctr">
      <a:solidFill>
        <a:srgbClr val="CBDCEE"/>
      </a:solidFill>
      <a:prstDash val="solid"/>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8326E"/>
                </a:solidFill>
              </a:defRPr>
            </a:pPr>
            <a:r>
              <a:rPr lang="en-IN" sz="1200" b="1">
                <a:solidFill>
                  <a:srgbClr val="08326E"/>
                </a:solidFill>
              </a:rPr>
              <a:t>Revenue by Payment Method</a:t>
            </a:r>
          </a:p>
        </c:rich>
      </c:tx>
      <c:overlay val="0"/>
    </c:title>
    <c:autoTitleDeleted val="0"/>
    <c:plotArea>
      <c:layout/>
      <c:barChart>
        <c:barDir val="bar"/>
        <c:grouping val="clustered"/>
        <c:varyColors val="0"/>
        <c:ser>
          <c:idx val="0"/>
          <c:order val="0"/>
          <c:tx>
            <c:strRef>
              <c:f>Pivot!$K$50</c:f>
              <c:strCache>
                <c:ptCount val="1"/>
                <c:pt idx="0">
                  <c:v>Revenue</c:v>
                </c:pt>
              </c:strCache>
            </c:strRef>
          </c:tx>
          <c:spPr>
            <a:gradFill flip="none" rotWithShape="1">
              <a:gsLst>
                <a:gs pos="0">
                  <a:srgbClr val="0F4C96"/>
                </a:gs>
                <a:gs pos="100000">
                  <a:srgbClr val="4091DE"/>
                </a:gs>
              </a:gsLst>
              <a:lin ang="5400000" scaled="1"/>
              <a:tileRect/>
            </a:gradFill>
          </c:spPr>
          <c:invertIfNegative val="0"/>
          <c:dLbls>
            <c:numFmt formatCode="&quot;₹&quot;#,##0" sourceLinked="0"/>
            <c:spPr>
              <a:noFill/>
              <a:ln>
                <a:noFill/>
              </a:ln>
              <a:effectLst/>
            </c:spPr>
            <c:txPr>
              <a:bodyPr wrap="square" lIns="38100" tIns="19050" rIns="38100" bIns="19050" anchor="ctr">
                <a:spAutoFit/>
              </a:bodyPr>
              <a:lstStyle/>
              <a:p>
                <a:pPr>
                  <a:defRPr sz="800" b="1">
                    <a:solidFill>
                      <a:srgbClr val="373737"/>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Pivot!$J$51:$J$54</c:f>
              <c:strCache>
                <c:ptCount val="4"/>
                <c:pt idx="0">
                  <c:v>Cash on Delivery</c:v>
                </c:pt>
                <c:pt idx="1">
                  <c:v>Credit/Debit Card</c:v>
                </c:pt>
                <c:pt idx="2">
                  <c:v>Net Banking</c:v>
                </c:pt>
                <c:pt idx="3">
                  <c:v>UPI/Wallet</c:v>
                </c:pt>
              </c:strCache>
            </c:strRef>
          </c:cat>
          <c:val>
            <c:numRef>
              <c:f>Pivot!$K$51:$K$54</c:f>
              <c:numCache>
                <c:formatCode>"₹"#,##0</c:formatCode>
                <c:ptCount val="4"/>
                <c:pt idx="0">
                  <c:v>110397.11549999999</c:v>
                </c:pt>
                <c:pt idx="1">
                  <c:v>98127.143999999971</c:v>
                </c:pt>
                <c:pt idx="2">
                  <c:v>74884.814999999988</c:v>
                </c:pt>
                <c:pt idx="3">
                  <c:v>99265.979000000007</c:v>
                </c:pt>
              </c:numCache>
            </c:numRef>
          </c:val>
          <c:extLst>
            <c:ext xmlns:c16="http://schemas.microsoft.com/office/drawing/2014/chart" uri="{C3380CC4-5D6E-409C-BE32-E72D297353CC}">
              <c16:uniqueId val="{00000000-1459-4F75-A06D-9B9EA4CCBB14}"/>
            </c:ext>
          </c:extLst>
        </c:ser>
        <c:dLbls>
          <c:showLegendKey val="0"/>
          <c:showVal val="0"/>
          <c:showCatName val="0"/>
          <c:showSerName val="0"/>
          <c:showPercent val="0"/>
          <c:showBubbleSize val="0"/>
        </c:dLbls>
        <c:gapWidth val="70"/>
        <c:axId val="829542304"/>
        <c:axId val="829550464"/>
      </c:barChart>
      <c:catAx>
        <c:axId val="829542304"/>
        <c:scaling>
          <c:orientation val="minMax"/>
        </c:scaling>
        <c:delete val="0"/>
        <c:axPos val="l"/>
        <c:numFmt formatCode="General" sourceLinked="1"/>
        <c:majorTickMark val="out"/>
        <c:minorTickMark val="none"/>
        <c:tickLblPos val="nextTo"/>
        <c:spPr>
          <a:ln>
            <a:solidFill>
              <a:srgbClr val="D2D2D2"/>
            </a:solidFill>
          </a:ln>
        </c:spPr>
        <c:crossAx val="829550464"/>
        <c:crosses val="autoZero"/>
        <c:auto val="1"/>
        <c:lblAlgn val="ctr"/>
        <c:lblOffset val="100"/>
        <c:noMultiLvlLbl val="0"/>
      </c:catAx>
      <c:valAx>
        <c:axId val="829550464"/>
        <c:scaling>
          <c:orientation val="minMax"/>
        </c:scaling>
        <c:delete val="0"/>
        <c:axPos val="b"/>
        <c:majorGridlines>
          <c:spPr>
            <a:ln w="6350">
              <a:solidFill>
                <a:srgbClr val="E6EBF5"/>
              </a:solidFill>
            </a:ln>
          </c:spPr>
        </c:majorGridlines>
        <c:numFmt formatCode="&quot;₹&quot;#,##0" sourceLinked="0"/>
        <c:majorTickMark val="out"/>
        <c:minorTickMark val="none"/>
        <c:tickLblPos val="nextTo"/>
        <c:spPr>
          <a:ln>
            <a:solidFill>
              <a:srgbClr val="D2D2D2"/>
            </a:solidFill>
          </a:ln>
        </c:spPr>
        <c:crossAx val="829542304"/>
        <c:crosses val="autoZero"/>
        <c:crossBetween val="between"/>
      </c:valAx>
      <c:spPr>
        <a:solidFill>
          <a:srgbClr val="FFFFFF"/>
        </a:solidFill>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CBDCEE"/>
      </a:solidFill>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C0C493DC-E183-6DB9-605A-EF24D72BDE0C}"/>
            </a:ext>
          </a:extLst>
        </xdr:cNvPr>
        <xdr:cNvSpPr/>
      </xdr:nvSpPr>
      <xdr:spPr>
        <a:xfrm>
          <a:off x="0" y="0"/>
          <a:ext cx="16687800" cy="822960"/>
        </a:xfrm>
        <a:prstGeom prst="roundRect">
          <a:avLst/>
        </a:prstGeom>
        <a:gradFill flip="none" rotWithShape="1">
          <a:gsLst>
            <a:gs pos="0">
              <a:srgbClr val="072A5A"/>
            </a:gs>
            <a:gs pos="100000">
              <a:srgbClr val="1459A8"/>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152400</xdr:colOff>
      <xdr:row>0</xdr:row>
      <xdr:rowOff>144780</xdr:rowOff>
    </xdr:from>
    <xdr:to>
      <xdr:col>1</xdr:col>
      <xdr:colOff>129540</xdr:colOff>
      <xdr:row>2</xdr:row>
      <xdr:rowOff>129540</xdr:rowOff>
    </xdr:to>
    <xdr:sp macro="" textlink="">
      <xdr:nvSpPr>
        <xdr:cNvPr id="3" name="Oval 2">
          <a:extLst>
            <a:ext uri="{FF2B5EF4-FFF2-40B4-BE49-F238E27FC236}">
              <a16:creationId xmlns:a16="http://schemas.microsoft.com/office/drawing/2014/main" id="{75967583-5AAF-549F-E743-7FE74FF364F4}"/>
            </a:ext>
          </a:extLst>
        </xdr:cNvPr>
        <xdr:cNvSpPr/>
      </xdr:nvSpPr>
      <xdr:spPr>
        <a:xfrm>
          <a:off x="152400" y="144780"/>
          <a:ext cx="533400" cy="533400"/>
        </a:xfrm>
        <a:prstGeom prst="ellipse">
          <a:avLst/>
        </a:prstGeom>
        <a:solidFill>
          <a:srgbClr val="0E3C7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200" b="1">
              <a:solidFill>
                <a:srgbClr val="FFFFFF"/>
              </a:solidFill>
            </a:rPr>
            <a:t>$</a:t>
          </a:r>
        </a:p>
      </xdr:txBody>
    </xdr:sp>
    <xdr:clientData/>
  </xdr:twoCellAnchor>
  <xdr:twoCellAnchor>
    <xdr:from>
      <xdr:col>1</xdr:col>
      <xdr:colOff>231140</xdr:colOff>
      <xdr:row>0</xdr:row>
      <xdr:rowOff>0</xdr:rowOff>
    </xdr:from>
    <xdr:to>
      <xdr:col>25</xdr:col>
      <xdr:colOff>139700</xdr:colOff>
      <xdr:row>3</xdr:row>
      <xdr:rowOff>0</xdr:rowOff>
    </xdr:to>
    <xdr:sp macro="" textlink="">
      <xdr:nvSpPr>
        <xdr:cNvPr id="4" name="TextBox 3">
          <a:extLst>
            <a:ext uri="{FF2B5EF4-FFF2-40B4-BE49-F238E27FC236}">
              <a16:creationId xmlns:a16="http://schemas.microsoft.com/office/drawing/2014/main" id="{24E9318E-FAAF-FCB2-B20C-FE15ED84F96D}"/>
            </a:ext>
          </a:extLst>
        </xdr:cNvPr>
        <xdr:cNvSpPr txBox="1"/>
      </xdr:nvSpPr>
      <xdr:spPr>
        <a:xfrm>
          <a:off x="787400" y="0"/>
          <a:ext cx="13258800" cy="8229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IN" sz="4000" b="1">
              <a:solidFill>
                <a:srgbClr val="FFFFFF"/>
              </a:solidFill>
            </a:rPr>
            <a:t>SWIFTCART SALES DASHBOARD | FY 2026</a:t>
          </a:r>
        </a:p>
      </xdr:txBody>
    </xdr:sp>
    <xdr:clientData/>
  </xdr:twoCellAnchor>
  <xdr:twoCellAnchor>
    <xdr:from>
      <xdr:col>25</xdr:col>
      <xdr:colOff>241300</xdr:colOff>
      <xdr:row>0</xdr:row>
      <xdr:rowOff>50800</xdr:rowOff>
    </xdr:from>
    <xdr:to>
      <xdr:col>29</xdr:col>
      <xdr:colOff>429260</xdr:colOff>
      <xdr:row>2</xdr:row>
      <xdr:rowOff>223520</xdr:rowOff>
    </xdr:to>
    <xdr:sp macro="" textlink="">
      <xdr:nvSpPr>
        <xdr:cNvPr id="5" name="TextBox 4">
          <a:extLst>
            <a:ext uri="{FF2B5EF4-FFF2-40B4-BE49-F238E27FC236}">
              <a16:creationId xmlns:a16="http://schemas.microsoft.com/office/drawing/2014/main" id="{C4D67498-6909-73BA-D88D-A9FE33F93198}"/>
            </a:ext>
          </a:extLst>
        </xdr:cNvPr>
        <xdr:cNvSpPr txBox="1"/>
      </xdr:nvSpPr>
      <xdr:spPr>
        <a:xfrm>
          <a:off x="14147800" y="50800"/>
          <a:ext cx="2413000" cy="7213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IN" sz="1800" b="1">
              <a:solidFill>
                <a:srgbClr val="FFFFFF"/>
              </a:solidFill>
            </a:rPr>
            <a:t>Data as of:</a:t>
          </a:r>
        </a:p>
        <a:p>
          <a:pPr algn="ctr"/>
          <a:r>
            <a:rPr lang="en-IN" sz="1800" b="1">
              <a:solidFill>
                <a:srgbClr val="FFFFFF"/>
              </a:solidFill>
            </a:rPr>
            <a:t>Jul 25, 2026</a:t>
          </a: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F7655612-A2A1-65AF-C8CA-589260CB663F}"/>
            </a:ext>
          </a:extLst>
        </xdr:cNvPr>
        <xdr:cNvSpPr/>
      </xdr:nvSpPr>
      <xdr:spPr>
        <a:xfrm>
          <a:off x="0" y="1051560"/>
          <a:ext cx="2781300" cy="914400"/>
        </a:xfrm>
        <a:prstGeom prst="roundRect">
          <a:avLst/>
        </a:prstGeom>
        <a:solidFill>
          <a:srgbClr val="FFFFFF"/>
        </a:solidFill>
        <a:ln w="9525">
          <a:solidFill>
            <a:schemeClr val="tx1"/>
          </a:solidFill>
        </a:ln>
        <a:effectLst>
          <a:outerShdw blurRad="63500" dist="17961" dir="2699987" rotWithShape="0">
            <a:srgbClr val="C8D2DC">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127000</xdr:colOff>
      <xdr:row>4</xdr:row>
      <xdr:rowOff>203200</xdr:rowOff>
    </xdr:from>
    <xdr:to>
      <xdr:col>1</xdr:col>
      <xdr:colOff>53340</xdr:colOff>
      <xdr:row>7</xdr:row>
      <xdr:rowOff>0</xdr:rowOff>
    </xdr:to>
    <xdr:sp macro="" textlink="">
      <xdr:nvSpPr>
        <xdr:cNvPr id="7" name="Oval 6">
          <a:extLst>
            <a:ext uri="{FF2B5EF4-FFF2-40B4-BE49-F238E27FC236}">
              <a16:creationId xmlns:a16="http://schemas.microsoft.com/office/drawing/2014/main" id="{0EAAE5D8-C691-F8C3-3D40-25C7B15DF841}"/>
            </a:ext>
          </a:extLst>
        </xdr:cNvPr>
        <xdr:cNvSpPr/>
      </xdr:nvSpPr>
      <xdr:spPr>
        <a:xfrm>
          <a:off x="127000" y="1254760"/>
          <a:ext cx="482600" cy="482600"/>
        </a:xfrm>
        <a:prstGeom prst="ellipse">
          <a:avLst/>
        </a:prstGeom>
        <a:gradFill flip="none" rotWithShape="1">
          <a:gsLst>
            <a:gs pos="0">
              <a:srgbClr val="0F4C96"/>
            </a:gs>
            <a:gs pos="100000">
              <a:srgbClr val="0A3264"/>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xdr:col>
      <xdr:colOff>129540</xdr:colOff>
      <xdr:row>4</xdr:row>
      <xdr:rowOff>101600</xdr:rowOff>
    </xdr:from>
    <xdr:to>
      <xdr:col>4</xdr:col>
      <xdr:colOff>505460</xdr:colOff>
      <xdr:row>5</xdr:row>
      <xdr:rowOff>152400</xdr:rowOff>
    </xdr:to>
    <xdr:sp macro="" textlink="">
      <xdr:nvSpPr>
        <xdr:cNvPr id="8" name="TextBox 7">
          <a:extLst>
            <a:ext uri="{FF2B5EF4-FFF2-40B4-BE49-F238E27FC236}">
              <a16:creationId xmlns:a16="http://schemas.microsoft.com/office/drawing/2014/main" id="{1D68DB55-6098-CD31-E25D-C353ED4250D6}"/>
            </a:ext>
          </a:extLst>
        </xdr:cNvPr>
        <xdr:cNvSpPr txBox="1"/>
      </xdr:nvSpPr>
      <xdr:spPr>
        <a:xfrm>
          <a:off x="6858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600" b="1">
              <a:solidFill>
                <a:srgbClr val="28374B"/>
              </a:solidFill>
            </a:rPr>
            <a:t>Total Net Revenue</a:t>
          </a:r>
        </a:p>
      </xdr:txBody>
    </xdr:sp>
    <xdr:clientData/>
  </xdr:twoCellAnchor>
  <xdr:twoCellAnchor>
    <xdr:from>
      <xdr:col>1</xdr:col>
      <xdr:colOff>129540</xdr:colOff>
      <xdr:row>5</xdr:row>
      <xdr:rowOff>139700</xdr:rowOff>
    </xdr:from>
    <xdr:to>
      <xdr:col>4</xdr:col>
      <xdr:colOff>505460</xdr:colOff>
      <xdr:row>7</xdr:row>
      <xdr:rowOff>114300</xdr:rowOff>
    </xdr:to>
    <xdr:sp macro="" textlink="Dashboard!$AF$2">
      <xdr:nvSpPr>
        <xdr:cNvPr id="9" name="TextBox 8">
          <a:extLst>
            <a:ext uri="{FF2B5EF4-FFF2-40B4-BE49-F238E27FC236}">
              <a16:creationId xmlns:a16="http://schemas.microsoft.com/office/drawing/2014/main" id="{62A47CEE-E348-795D-34DC-CA6CAE75D5E0}"/>
            </a:ext>
          </a:extLst>
        </xdr:cNvPr>
        <xdr:cNvSpPr txBox="1"/>
      </xdr:nvSpPr>
      <xdr:spPr>
        <a:xfrm>
          <a:off x="6858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BD065AEF-B272-4BE8-A2E9-595CF4009E0A}" type="TxLink">
            <a:rPr lang="en-US" sz="2600" b="1" i="0" u="none" strike="noStrike">
              <a:solidFill>
                <a:srgbClr val="08326E"/>
              </a:solidFill>
              <a:latin typeface="Aptos"/>
            </a:rPr>
            <a:pPr algn="ctr"/>
            <a:t>₹3,82,675</a:t>
          </a:fld>
          <a:endParaRPr lang="en-IN" sz="2600" b="1">
            <a:solidFill>
              <a:srgbClr val="08326E"/>
            </a:solidFill>
          </a:endParaRPr>
        </a:p>
      </xdr:txBody>
    </xdr:sp>
    <xdr:clientData/>
  </xdr:twoCellAnchor>
  <xdr:twoCellAnchor>
    <xdr:from>
      <xdr:col>1</xdr:col>
      <xdr:colOff>129540</xdr:colOff>
      <xdr:row>7</xdr:row>
      <xdr:rowOff>50800</xdr:rowOff>
    </xdr:from>
    <xdr:to>
      <xdr:col>4</xdr:col>
      <xdr:colOff>505460</xdr:colOff>
      <xdr:row>7</xdr:row>
      <xdr:rowOff>215900</xdr:rowOff>
    </xdr:to>
    <xdr:sp macro="" textlink="">
      <xdr:nvSpPr>
        <xdr:cNvPr id="10" name="TextBox 9">
          <a:extLst>
            <a:ext uri="{FF2B5EF4-FFF2-40B4-BE49-F238E27FC236}">
              <a16:creationId xmlns:a16="http://schemas.microsoft.com/office/drawing/2014/main" id="{81DF70E9-5D99-CD25-AD6B-EB89E7389C83}"/>
            </a:ext>
          </a:extLst>
        </xdr:cNvPr>
        <xdr:cNvSpPr txBox="1"/>
      </xdr:nvSpPr>
      <xdr:spPr>
        <a:xfrm>
          <a:off x="6858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A6473"/>
              </a:solidFill>
            </a:rPr>
            <a:t>Total Revenue</a:t>
          </a: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CF49002F-41CC-9879-3DB2-5C9D34423D1F}"/>
            </a:ext>
          </a:extLst>
        </xdr:cNvPr>
        <xdr:cNvSpPr/>
      </xdr:nvSpPr>
      <xdr:spPr>
        <a:xfrm>
          <a:off x="2781300" y="1051560"/>
          <a:ext cx="2781300" cy="914400"/>
        </a:xfrm>
        <a:prstGeom prst="roundRect">
          <a:avLst/>
        </a:prstGeom>
        <a:solidFill>
          <a:srgbClr val="FFFFFF"/>
        </a:solidFill>
        <a:ln w="9525">
          <a:solidFill>
            <a:schemeClr val="tx1"/>
          </a:solidFill>
        </a:ln>
        <a:effectLst>
          <a:outerShdw blurRad="63500" dist="17961" dir="2699987" rotWithShape="0">
            <a:srgbClr val="C8D2DC">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127000</xdr:colOff>
      <xdr:row>4</xdr:row>
      <xdr:rowOff>203200</xdr:rowOff>
    </xdr:from>
    <xdr:to>
      <xdr:col>6</xdr:col>
      <xdr:colOff>53340</xdr:colOff>
      <xdr:row>7</xdr:row>
      <xdr:rowOff>0</xdr:rowOff>
    </xdr:to>
    <xdr:sp macro="" textlink="">
      <xdr:nvSpPr>
        <xdr:cNvPr id="12" name="Oval 11">
          <a:extLst>
            <a:ext uri="{FF2B5EF4-FFF2-40B4-BE49-F238E27FC236}">
              <a16:creationId xmlns:a16="http://schemas.microsoft.com/office/drawing/2014/main" id="{14445576-FD3B-BE30-D5F7-AEF7000E690C}"/>
            </a:ext>
          </a:extLst>
        </xdr:cNvPr>
        <xdr:cNvSpPr/>
      </xdr:nvSpPr>
      <xdr:spPr>
        <a:xfrm>
          <a:off x="2908300" y="1254760"/>
          <a:ext cx="482600" cy="482600"/>
        </a:xfrm>
        <a:prstGeom prst="ellipse">
          <a:avLst/>
        </a:prstGeom>
        <a:gradFill flip="none" rotWithShape="1">
          <a:gsLst>
            <a:gs pos="0">
              <a:srgbClr val="236EBE"/>
            </a:gs>
            <a:gs pos="100000">
              <a:srgbClr val="0A3264"/>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6</xdr:col>
      <xdr:colOff>129540</xdr:colOff>
      <xdr:row>4</xdr:row>
      <xdr:rowOff>101600</xdr:rowOff>
    </xdr:from>
    <xdr:to>
      <xdr:col>9</xdr:col>
      <xdr:colOff>505460</xdr:colOff>
      <xdr:row>5</xdr:row>
      <xdr:rowOff>152400</xdr:rowOff>
    </xdr:to>
    <xdr:sp macro="" textlink="">
      <xdr:nvSpPr>
        <xdr:cNvPr id="13" name="TextBox 12">
          <a:extLst>
            <a:ext uri="{FF2B5EF4-FFF2-40B4-BE49-F238E27FC236}">
              <a16:creationId xmlns:a16="http://schemas.microsoft.com/office/drawing/2014/main" id="{6DE0ABC5-1278-7CDB-33ED-59741AABC0EF}"/>
            </a:ext>
          </a:extLst>
        </xdr:cNvPr>
        <xdr:cNvSpPr txBox="1"/>
      </xdr:nvSpPr>
      <xdr:spPr>
        <a:xfrm>
          <a:off x="34671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600" b="1">
              <a:solidFill>
                <a:srgbClr val="28374B"/>
              </a:solidFill>
            </a:rPr>
            <a:t>Net Profit/(Loss)</a:t>
          </a:r>
        </a:p>
      </xdr:txBody>
    </xdr:sp>
    <xdr:clientData/>
  </xdr:twoCellAnchor>
  <xdr:twoCellAnchor>
    <xdr:from>
      <xdr:col>6</xdr:col>
      <xdr:colOff>129540</xdr:colOff>
      <xdr:row>5</xdr:row>
      <xdr:rowOff>139700</xdr:rowOff>
    </xdr:from>
    <xdr:to>
      <xdr:col>9</xdr:col>
      <xdr:colOff>505460</xdr:colOff>
      <xdr:row>7</xdr:row>
      <xdr:rowOff>114300</xdr:rowOff>
    </xdr:to>
    <xdr:sp macro="" textlink="Dashboard!$AF$3">
      <xdr:nvSpPr>
        <xdr:cNvPr id="14" name="TextBox 13">
          <a:extLst>
            <a:ext uri="{FF2B5EF4-FFF2-40B4-BE49-F238E27FC236}">
              <a16:creationId xmlns:a16="http://schemas.microsoft.com/office/drawing/2014/main" id="{3876F2FB-DA01-94FD-3CBC-13C284D07E33}"/>
            </a:ext>
          </a:extLst>
        </xdr:cNvPr>
        <xdr:cNvSpPr txBox="1"/>
      </xdr:nvSpPr>
      <xdr:spPr>
        <a:xfrm>
          <a:off x="34671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A1694BF-B144-4118-904E-CE2CC4CC6F3B}" type="TxLink">
            <a:rPr lang="en-US" sz="2600" b="1" i="0" u="none" strike="noStrike">
              <a:solidFill>
                <a:srgbClr val="08326E"/>
              </a:solidFill>
              <a:latin typeface="Aptos"/>
            </a:rPr>
            <a:pPr algn="ctr"/>
            <a:t>₹42,520</a:t>
          </a:fld>
          <a:endParaRPr lang="en-IN" sz="2600" b="1">
            <a:solidFill>
              <a:srgbClr val="08326E"/>
            </a:solidFill>
          </a:endParaRPr>
        </a:p>
      </xdr:txBody>
    </xdr:sp>
    <xdr:clientData/>
  </xdr:twoCellAnchor>
  <xdr:twoCellAnchor>
    <xdr:from>
      <xdr:col>6</xdr:col>
      <xdr:colOff>129540</xdr:colOff>
      <xdr:row>7</xdr:row>
      <xdr:rowOff>50800</xdr:rowOff>
    </xdr:from>
    <xdr:to>
      <xdr:col>9</xdr:col>
      <xdr:colOff>505460</xdr:colOff>
      <xdr:row>7</xdr:row>
      <xdr:rowOff>215900</xdr:rowOff>
    </xdr:to>
    <xdr:sp macro="" textlink="">
      <xdr:nvSpPr>
        <xdr:cNvPr id="15" name="TextBox 14">
          <a:extLst>
            <a:ext uri="{FF2B5EF4-FFF2-40B4-BE49-F238E27FC236}">
              <a16:creationId xmlns:a16="http://schemas.microsoft.com/office/drawing/2014/main" id="{091702E1-8DE5-4419-5E16-9453BE49C720}"/>
            </a:ext>
          </a:extLst>
        </xdr:cNvPr>
        <xdr:cNvSpPr txBox="1"/>
      </xdr:nvSpPr>
      <xdr:spPr>
        <a:xfrm>
          <a:off x="34671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A6473"/>
              </a:solidFill>
            </a:rPr>
            <a:t>Bottom Line</a:t>
          </a: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F8FC4126-A10A-7B7B-3BD3-85682ADA5E18}"/>
            </a:ext>
          </a:extLst>
        </xdr:cNvPr>
        <xdr:cNvSpPr/>
      </xdr:nvSpPr>
      <xdr:spPr>
        <a:xfrm>
          <a:off x="5562600" y="1051560"/>
          <a:ext cx="2781300" cy="914400"/>
        </a:xfrm>
        <a:prstGeom prst="roundRect">
          <a:avLst/>
        </a:prstGeom>
        <a:solidFill>
          <a:srgbClr val="FFFFFF"/>
        </a:solidFill>
        <a:ln w="9525">
          <a:solidFill>
            <a:schemeClr val="tx1"/>
          </a:solidFill>
        </a:ln>
        <a:effectLst>
          <a:outerShdw blurRad="63500" dist="17961" dir="2699987" rotWithShape="0">
            <a:srgbClr val="C8D2DC">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127000</xdr:colOff>
      <xdr:row>4</xdr:row>
      <xdr:rowOff>203200</xdr:rowOff>
    </xdr:from>
    <xdr:to>
      <xdr:col>11</xdr:col>
      <xdr:colOff>53340</xdr:colOff>
      <xdr:row>7</xdr:row>
      <xdr:rowOff>0</xdr:rowOff>
    </xdr:to>
    <xdr:sp macro="" textlink="">
      <xdr:nvSpPr>
        <xdr:cNvPr id="17" name="Oval 16">
          <a:extLst>
            <a:ext uri="{FF2B5EF4-FFF2-40B4-BE49-F238E27FC236}">
              <a16:creationId xmlns:a16="http://schemas.microsoft.com/office/drawing/2014/main" id="{595EAC33-EFDB-D753-F077-E890B77C59E3}"/>
            </a:ext>
          </a:extLst>
        </xdr:cNvPr>
        <xdr:cNvSpPr/>
      </xdr:nvSpPr>
      <xdr:spPr>
        <a:xfrm>
          <a:off x="5689600" y="1254760"/>
          <a:ext cx="482600" cy="482600"/>
        </a:xfrm>
        <a:prstGeom prst="ellipse">
          <a:avLst/>
        </a:prstGeom>
        <a:gradFill flip="none" rotWithShape="1">
          <a:gsLst>
            <a:gs pos="0">
              <a:srgbClr val="4091DE"/>
            </a:gs>
            <a:gs pos="100000">
              <a:srgbClr val="0A3264"/>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11</xdr:col>
      <xdr:colOff>129540</xdr:colOff>
      <xdr:row>4</xdr:row>
      <xdr:rowOff>101600</xdr:rowOff>
    </xdr:from>
    <xdr:to>
      <xdr:col>14</xdr:col>
      <xdr:colOff>505460</xdr:colOff>
      <xdr:row>5</xdr:row>
      <xdr:rowOff>152400</xdr:rowOff>
    </xdr:to>
    <xdr:sp macro="" textlink="">
      <xdr:nvSpPr>
        <xdr:cNvPr id="18" name="TextBox 17">
          <a:extLst>
            <a:ext uri="{FF2B5EF4-FFF2-40B4-BE49-F238E27FC236}">
              <a16:creationId xmlns:a16="http://schemas.microsoft.com/office/drawing/2014/main" id="{D39AA5A1-5296-4541-E74E-E5242B98AA89}"/>
            </a:ext>
          </a:extLst>
        </xdr:cNvPr>
        <xdr:cNvSpPr txBox="1"/>
      </xdr:nvSpPr>
      <xdr:spPr>
        <a:xfrm>
          <a:off x="62484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600" b="1">
              <a:solidFill>
                <a:srgbClr val="28374B"/>
              </a:solidFill>
            </a:rPr>
            <a:t>Profit Margin</a:t>
          </a:r>
        </a:p>
      </xdr:txBody>
    </xdr:sp>
    <xdr:clientData/>
  </xdr:twoCellAnchor>
  <xdr:twoCellAnchor>
    <xdr:from>
      <xdr:col>11</xdr:col>
      <xdr:colOff>129540</xdr:colOff>
      <xdr:row>5</xdr:row>
      <xdr:rowOff>139700</xdr:rowOff>
    </xdr:from>
    <xdr:to>
      <xdr:col>14</xdr:col>
      <xdr:colOff>505460</xdr:colOff>
      <xdr:row>7</xdr:row>
      <xdr:rowOff>114300</xdr:rowOff>
    </xdr:to>
    <xdr:sp macro="" textlink="Dashboard!$AF$4">
      <xdr:nvSpPr>
        <xdr:cNvPr id="19" name="TextBox 18">
          <a:extLst>
            <a:ext uri="{FF2B5EF4-FFF2-40B4-BE49-F238E27FC236}">
              <a16:creationId xmlns:a16="http://schemas.microsoft.com/office/drawing/2014/main" id="{F6AF7D1F-F1D9-6B04-FCA3-7138BC0EBF7A}"/>
            </a:ext>
          </a:extLst>
        </xdr:cNvPr>
        <xdr:cNvSpPr txBox="1"/>
      </xdr:nvSpPr>
      <xdr:spPr>
        <a:xfrm>
          <a:off x="62484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7694EED9-8EC7-4E43-849E-7E5D01105DF4}" type="TxLink">
            <a:rPr lang="en-US" sz="2600" b="1" i="0" u="none" strike="noStrike">
              <a:solidFill>
                <a:srgbClr val="08326E"/>
              </a:solidFill>
              <a:latin typeface="Aptos"/>
            </a:rPr>
            <a:pPr algn="ctr"/>
            <a:t>11.1%</a:t>
          </a:fld>
          <a:endParaRPr lang="en-IN" sz="2600" b="1">
            <a:solidFill>
              <a:srgbClr val="08326E"/>
            </a:solidFill>
          </a:endParaRPr>
        </a:p>
      </xdr:txBody>
    </xdr:sp>
    <xdr:clientData/>
  </xdr:twoCellAnchor>
  <xdr:twoCellAnchor>
    <xdr:from>
      <xdr:col>11</xdr:col>
      <xdr:colOff>129540</xdr:colOff>
      <xdr:row>7</xdr:row>
      <xdr:rowOff>50800</xdr:rowOff>
    </xdr:from>
    <xdr:to>
      <xdr:col>14</xdr:col>
      <xdr:colOff>505460</xdr:colOff>
      <xdr:row>7</xdr:row>
      <xdr:rowOff>215900</xdr:rowOff>
    </xdr:to>
    <xdr:sp macro="" textlink="">
      <xdr:nvSpPr>
        <xdr:cNvPr id="20" name="TextBox 19">
          <a:extLst>
            <a:ext uri="{FF2B5EF4-FFF2-40B4-BE49-F238E27FC236}">
              <a16:creationId xmlns:a16="http://schemas.microsoft.com/office/drawing/2014/main" id="{F21AA58B-D88F-9156-B3D8-9889750D499B}"/>
            </a:ext>
          </a:extLst>
        </xdr:cNvPr>
        <xdr:cNvSpPr txBox="1"/>
      </xdr:nvSpPr>
      <xdr:spPr>
        <a:xfrm>
          <a:off x="62484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A6473"/>
              </a:solidFill>
            </a:rPr>
            <a:t>of Net Revenue</a:t>
          </a: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07476059-E351-DF52-07AA-E5FB7B77D55A}"/>
            </a:ext>
          </a:extLst>
        </xdr:cNvPr>
        <xdr:cNvSpPr/>
      </xdr:nvSpPr>
      <xdr:spPr>
        <a:xfrm>
          <a:off x="8343900" y="1051560"/>
          <a:ext cx="2781300" cy="914400"/>
        </a:xfrm>
        <a:prstGeom prst="roundRect">
          <a:avLst/>
        </a:prstGeom>
        <a:solidFill>
          <a:srgbClr val="FFFFFF"/>
        </a:solidFill>
        <a:ln w="9525">
          <a:solidFill>
            <a:schemeClr val="tx1"/>
          </a:solidFill>
        </a:ln>
        <a:effectLst>
          <a:outerShdw blurRad="63500" dist="17961" dir="2699987" rotWithShape="0">
            <a:srgbClr val="C8D2DC">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127000</xdr:colOff>
      <xdr:row>4</xdr:row>
      <xdr:rowOff>203200</xdr:rowOff>
    </xdr:from>
    <xdr:to>
      <xdr:col>16</xdr:col>
      <xdr:colOff>53340</xdr:colOff>
      <xdr:row>7</xdr:row>
      <xdr:rowOff>0</xdr:rowOff>
    </xdr:to>
    <xdr:sp macro="" textlink="">
      <xdr:nvSpPr>
        <xdr:cNvPr id="22" name="Oval 21">
          <a:extLst>
            <a:ext uri="{FF2B5EF4-FFF2-40B4-BE49-F238E27FC236}">
              <a16:creationId xmlns:a16="http://schemas.microsoft.com/office/drawing/2014/main" id="{29A6BBEB-F3C3-2F11-CD1A-53D7BF12D433}"/>
            </a:ext>
          </a:extLst>
        </xdr:cNvPr>
        <xdr:cNvSpPr/>
      </xdr:nvSpPr>
      <xdr:spPr>
        <a:xfrm>
          <a:off x="8470900" y="1254760"/>
          <a:ext cx="482600" cy="482600"/>
        </a:xfrm>
        <a:prstGeom prst="ellipse">
          <a:avLst/>
        </a:prstGeom>
        <a:gradFill flip="none" rotWithShape="1">
          <a:gsLst>
            <a:gs pos="0">
              <a:srgbClr val="145AAA"/>
            </a:gs>
            <a:gs pos="100000">
              <a:srgbClr val="0A3264"/>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16</xdr:col>
      <xdr:colOff>129540</xdr:colOff>
      <xdr:row>4</xdr:row>
      <xdr:rowOff>101600</xdr:rowOff>
    </xdr:from>
    <xdr:to>
      <xdr:col>19</xdr:col>
      <xdr:colOff>505460</xdr:colOff>
      <xdr:row>5</xdr:row>
      <xdr:rowOff>152400</xdr:rowOff>
    </xdr:to>
    <xdr:sp macro="" textlink="">
      <xdr:nvSpPr>
        <xdr:cNvPr id="23" name="TextBox 22">
          <a:extLst>
            <a:ext uri="{FF2B5EF4-FFF2-40B4-BE49-F238E27FC236}">
              <a16:creationId xmlns:a16="http://schemas.microsoft.com/office/drawing/2014/main" id="{A6954DC8-6B12-F730-FEEC-1993D88AF169}"/>
            </a:ext>
          </a:extLst>
        </xdr:cNvPr>
        <xdr:cNvSpPr txBox="1"/>
      </xdr:nvSpPr>
      <xdr:spPr>
        <a:xfrm>
          <a:off x="90297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600" b="1">
              <a:solidFill>
                <a:srgbClr val="28374B"/>
              </a:solidFill>
            </a:rPr>
            <a:t>Total Orders</a:t>
          </a:r>
        </a:p>
      </xdr:txBody>
    </xdr:sp>
    <xdr:clientData/>
  </xdr:twoCellAnchor>
  <xdr:twoCellAnchor>
    <xdr:from>
      <xdr:col>16</xdr:col>
      <xdr:colOff>129540</xdr:colOff>
      <xdr:row>5</xdr:row>
      <xdr:rowOff>139700</xdr:rowOff>
    </xdr:from>
    <xdr:to>
      <xdr:col>19</xdr:col>
      <xdr:colOff>505460</xdr:colOff>
      <xdr:row>7</xdr:row>
      <xdr:rowOff>114300</xdr:rowOff>
    </xdr:to>
    <xdr:sp macro="" textlink="Dashboard!$AF$5">
      <xdr:nvSpPr>
        <xdr:cNvPr id="24" name="TextBox 23">
          <a:extLst>
            <a:ext uri="{FF2B5EF4-FFF2-40B4-BE49-F238E27FC236}">
              <a16:creationId xmlns:a16="http://schemas.microsoft.com/office/drawing/2014/main" id="{ADBE3E3D-47ED-6974-8AFD-711E86DC1F32}"/>
            </a:ext>
          </a:extLst>
        </xdr:cNvPr>
        <xdr:cNvSpPr txBox="1"/>
      </xdr:nvSpPr>
      <xdr:spPr>
        <a:xfrm>
          <a:off x="90297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BA7696B3-8C0F-40DC-9726-E64688A7721D}" type="TxLink">
            <a:rPr lang="en-US" sz="2600" b="1" i="0" u="none" strike="noStrike">
              <a:solidFill>
                <a:srgbClr val="08326E"/>
              </a:solidFill>
              <a:latin typeface="Aptos"/>
            </a:rPr>
            <a:pPr algn="ctr"/>
            <a:t>220</a:t>
          </a:fld>
          <a:endParaRPr lang="en-IN" sz="2600" b="1">
            <a:solidFill>
              <a:srgbClr val="08326E"/>
            </a:solidFill>
          </a:endParaRPr>
        </a:p>
      </xdr:txBody>
    </xdr:sp>
    <xdr:clientData/>
  </xdr:twoCellAnchor>
  <xdr:twoCellAnchor>
    <xdr:from>
      <xdr:col>16</xdr:col>
      <xdr:colOff>129540</xdr:colOff>
      <xdr:row>7</xdr:row>
      <xdr:rowOff>50800</xdr:rowOff>
    </xdr:from>
    <xdr:to>
      <xdr:col>19</xdr:col>
      <xdr:colOff>505460</xdr:colOff>
      <xdr:row>7</xdr:row>
      <xdr:rowOff>215900</xdr:rowOff>
    </xdr:to>
    <xdr:sp macro="" textlink="">
      <xdr:nvSpPr>
        <xdr:cNvPr id="25" name="TextBox 24">
          <a:extLst>
            <a:ext uri="{FF2B5EF4-FFF2-40B4-BE49-F238E27FC236}">
              <a16:creationId xmlns:a16="http://schemas.microsoft.com/office/drawing/2014/main" id="{1A32C4B4-176C-AA03-C076-EAC42EBBAB79}"/>
            </a:ext>
          </a:extLst>
        </xdr:cNvPr>
        <xdr:cNvSpPr txBox="1"/>
      </xdr:nvSpPr>
      <xdr:spPr>
        <a:xfrm>
          <a:off x="90297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A6473"/>
              </a:solidFill>
            </a:rPr>
            <a:t>Orders Placed</a:t>
          </a: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F2B39A4E-D87D-9EF9-223B-114367F6BA26}"/>
            </a:ext>
          </a:extLst>
        </xdr:cNvPr>
        <xdr:cNvSpPr/>
      </xdr:nvSpPr>
      <xdr:spPr>
        <a:xfrm>
          <a:off x="11125200" y="1051560"/>
          <a:ext cx="2781300" cy="914400"/>
        </a:xfrm>
        <a:prstGeom prst="roundRect">
          <a:avLst/>
        </a:prstGeom>
        <a:solidFill>
          <a:srgbClr val="FFFFFF"/>
        </a:solidFill>
        <a:ln w="9525">
          <a:solidFill>
            <a:schemeClr val="tx1"/>
          </a:solidFill>
        </a:ln>
        <a:effectLst>
          <a:outerShdw blurRad="63500" dist="17961" dir="2699987" rotWithShape="0">
            <a:srgbClr val="C8D2DC">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127000</xdr:colOff>
      <xdr:row>4</xdr:row>
      <xdr:rowOff>203200</xdr:rowOff>
    </xdr:from>
    <xdr:to>
      <xdr:col>21</xdr:col>
      <xdr:colOff>53340</xdr:colOff>
      <xdr:row>7</xdr:row>
      <xdr:rowOff>0</xdr:rowOff>
    </xdr:to>
    <xdr:sp macro="" textlink="">
      <xdr:nvSpPr>
        <xdr:cNvPr id="27" name="Oval 26">
          <a:extLst>
            <a:ext uri="{FF2B5EF4-FFF2-40B4-BE49-F238E27FC236}">
              <a16:creationId xmlns:a16="http://schemas.microsoft.com/office/drawing/2014/main" id="{BD39B534-CD3E-8D50-4BF8-CB5F3C12B52A}"/>
            </a:ext>
          </a:extLst>
        </xdr:cNvPr>
        <xdr:cNvSpPr/>
      </xdr:nvSpPr>
      <xdr:spPr>
        <a:xfrm>
          <a:off x="11252200" y="1254760"/>
          <a:ext cx="482600" cy="482600"/>
        </a:xfrm>
        <a:prstGeom prst="ellipse">
          <a:avLst/>
        </a:prstGeom>
        <a:gradFill flip="none" rotWithShape="1">
          <a:gsLst>
            <a:gs pos="0">
              <a:srgbClr val="5AA0E6"/>
            </a:gs>
            <a:gs pos="100000">
              <a:srgbClr val="0A3264"/>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T</a:t>
          </a:r>
        </a:p>
      </xdr:txBody>
    </xdr:sp>
    <xdr:clientData/>
  </xdr:twoCellAnchor>
  <xdr:twoCellAnchor>
    <xdr:from>
      <xdr:col>21</xdr:col>
      <xdr:colOff>129540</xdr:colOff>
      <xdr:row>4</xdr:row>
      <xdr:rowOff>101600</xdr:rowOff>
    </xdr:from>
    <xdr:to>
      <xdr:col>24</xdr:col>
      <xdr:colOff>505460</xdr:colOff>
      <xdr:row>5</xdr:row>
      <xdr:rowOff>152400</xdr:rowOff>
    </xdr:to>
    <xdr:sp macro="" textlink="">
      <xdr:nvSpPr>
        <xdr:cNvPr id="28" name="TextBox 27">
          <a:extLst>
            <a:ext uri="{FF2B5EF4-FFF2-40B4-BE49-F238E27FC236}">
              <a16:creationId xmlns:a16="http://schemas.microsoft.com/office/drawing/2014/main" id="{4190ABFF-59E8-467F-1225-3EE0BBF749D7}"/>
            </a:ext>
          </a:extLst>
        </xdr:cNvPr>
        <xdr:cNvSpPr txBox="1"/>
      </xdr:nvSpPr>
      <xdr:spPr>
        <a:xfrm>
          <a:off x="118110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600" b="1">
              <a:solidFill>
                <a:srgbClr val="28374B"/>
              </a:solidFill>
            </a:rPr>
            <a:t>Avg Delivery Time</a:t>
          </a:r>
        </a:p>
      </xdr:txBody>
    </xdr:sp>
    <xdr:clientData/>
  </xdr:twoCellAnchor>
  <xdr:twoCellAnchor>
    <xdr:from>
      <xdr:col>21</xdr:col>
      <xdr:colOff>129540</xdr:colOff>
      <xdr:row>5</xdr:row>
      <xdr:rowOff>139700</xdr:rowOff>
    </xdr:from>
    <xdr:to>
      <xdr:col>24</xdr:col>
      <xdr:colOff>505460</xdr:colOff>
      <xdr:row>7</xdr:row>
      <xdr:rowOff>114300</xdr:rowOff>
    </xdr:to>
    <xdr:sp macro="" textlink="Dashboard!$AF$6">
      <xdr:nvSpPr>
        <xdr:cNvPr id="29" name="TextBox 28">
          <a:extLst>
            <a:ext uri="{FF2B5EF4-FFF2-40B4-BE49-F238E27FC236}">
              <a16:creationId xmlns:a16="http://schemas.microsoft.com/office/drawing/2014/main" id="{00D4A699-D3F3-B335-4E5F-2BE06F7344A6}"/>
            </a:ext>
          </a:extLst>
        </xdr:cNvPr>
        <xdr:cNvSpPr txBox="1"/>
      </xdr:nvSpPr>
      <xdr:spPr>
        <a:xfrm>
          <a:off x="118110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801DE3E-1713-4DF7-B550-6F5819E3392A}" type="TxLink">
            <a:rPr lang="en-US" sz="2600" b="1" i="0" u="none" strike="noStrike">
              <a:solidFill>
                <a:srgbClr val="08326E"/>
              </a:solidFill>
              <a:latin typeface="Aptos"/>
            </a:rPr>
            <a:pPr algn="ctr"/>
            <a:t>56.5</a:t>
          </a:fld>
          <a:endParaRPr lang="en-IN" sz="2600" b="1">
            <a:solidFill>
              <a:srgbClr val="08326E"/>
            </a:solidFill>
          </a:endParaRPr>
        </a:p>
      </xdr:txBody>
    </xdr:sp>
    <xdr:clientData/>
  </xdr:twoCellAnchor>
  <xdr:twoCellAnchor>
    <xdr:from>
      <xdr:col>21</xdr:col>
      <xdr:colOff>129540</xdr:colOff>
      <xdr:row>7</xdr:row>
      <xdr:rowOff>50800</xdr:rowOff>
    </xdr:from>
    <xdr:to>
      <xdr:col>24</xdr:col>
      <xdr:colOff>505460</xdr:colOff>
      <xdr:row>7</xdr:row>
      <xdr:rowOff>215900</xdr:rowOff>
    </xdr:to>
    <xdr:sp macro="" textlink="">
      <xdr:nvSpPr>
        <xdr:cNvPr id="30" name="TextBox 29">
          <a:extLst>
            <a:ext uri="{FF2B5EF4-FFF2-40B4-BE49-F238E27FC236}">
              <a16:creationId xmlns:a16="http://schemas.microsoft.com/office/drawing/2014/main" id="{4A99C403-526C-BF0E-49C3-60FF1C2A8DBF}"/>
            </a:ext>
          </a:extLst>
        </xdr:cNvPr>
        <xdr:cNvSpPr txBox="1"/>
      </xdr:nvSpPr>
      <xdr:spPr>
        <a:xfrm>
          <a:off x="118110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A6473"/>
              </a:solidFill>
            </a:rPr>
            <a:t>Minutes (avg)</a:t>
          </a: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E78AFF4D-A715-3F26-3194-0268578A0BC0}"/>
            </a:ext>
          </a:extLst>
        </xdr:cNvPr>
        <xdr:cNvSpPr/>
      </xdr:nvSpPr>
      <xdr:spPr>
        <a:xfrm>
          <a:off x="13906500" y="1051560"/>
          <a:ext cx="2781300" cy="914400"/>
        </a:xfrm>
        <a:prstGeom prst="roundRect">
          <a:avLst/>
        </a:prstGeom>
        <a:solidFill>
          <a:srgbClr val="FFFFFF"/>
        </a:solidFill>
        <a:ln w="9525">
          <a:solidFill>
            <a:schemeClr val="tx1"/>
          </a:solidFill>
        </a:ln>
        <a:effectLst>
          <a:outerShdw blurRad="63500" dist="17961" dir="2699987" rotWithShape="0">
            <a:srgbClr val="C8D2DC">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25</xdr:col>
      <xdr:colOff>127000</xdr:colOff>
      <xdr:row>4</xdr:row>
      <xdr:rowOff>203200</xdr:rowOff>
    </xdr:from>
    <xdr:to>
      <xdr:col>26</xdr:col>
      <xdr:colOff>53340</xdr:colOff>
      <xdr:row>7</xdr:row>
      <xdr:rowOff>0</xdr:rowOff>
    </xdr:to>
    <xdr:sp macro="" textlink="">
      <xdr:nvSpPr>
        <xdr:cNvPr id="32" name="Oval 31">
          <a:extLst>
            <a:ext uri="{FF2B5EF4-FFF2-40B4-BE49-F238E27FC236}">
              <a16:creationId xmlns:a16="http://schemas.microsoft.com/office/drawing/2014/main" id="{067E64EC-2731-B81B-CD59-BBE4AEF2AA87}"/>
            </a:ext>
          </a:extLst>
        </xdr:cNvPr>
        <xdr:cNvSpPr/>
      </xdr:nvSpPr>
      <xdr:spPr>
        <a:xfrm>
          <a:off x="14033500" y="1254760"/>
          <a:ext cx="482600" cy="482600"/>
        </a:xfrm>
        <a:prstGeom prst="ellipse">
          <a:avLst/>
        </a:prstGeom>
        <a:gradFill flip="none" rotWithShape="1">
          <a:gsLst>
            <a:gs pos="0">
              <a:srgbClr val="0C3C7D"/>
            </a:gs>
            <a:gs pos="100000">
              <a:srgbClr val="0A3264"/>
            </a:gs>
          </a:gsLst>
          <a:lin ang="27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300" b="1">
              <a:solidFill>
                <a:srgbClr val="FFFFFF"/>
              </a:solidFill>
            </a:rPr>
            <a:t>*</a:t>
          </a:r>
        </a:p>
      </xdr:txBody>
    </xdr:sp>
    <xdr:clientData/>
  </xdr:twoCellAnchor>
  <xdr:twoCellAnchor>
    <xdr:from>
      <xdr:col>26</xdr:col>
      <xdr:colOff>129540</xdr:colOff>
      <xdr:row>4</xdr:row>
      <xdr:rowOff>101600</xdr:rowOff>
    </xdr:from>
    <xdr:to>
      <xdr:col>29</xdr:col>
      <xdr:colOff>505460</xdr:colOff>
      <xdr:row>5</xdr:row>
      <xdr:rowOff>152400</xdr:rowOff>
    </xdr:to>
    <xdr:sp macro="" textlink="">
      <xdr:nvSpPr>
        <xdr:cNvPr id="33" name="TextBox 32">
          <a:extLst>
            <a:ext uri="{FF2B5EF4-FFF2-40B4-BE49-F238E27FC236}">
              <a16:creationId xmlns:a16="http://schemas.microsoft.com/office/drawing/2014/main" id="{A51178F6-7919-4959-9C3B-36593B07272A}"/>
            </a:ext>
          </a:extLst>
        </xdr:cNvPr>
        <xdr:cNvSpPr txBox="1"/>
      </xdr:nvSpPr>
      <xdr:spPr>
        <a:xfrm>
          <a:off x="145923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N" sz="1600" b="1">
              <a:solidFill>
                <a:srgbClr val="28374B"/>
              </a:solidFill>
            </a:rPr>
            <a:t>Avg Rating</a:t>
          </a:r>
        </a:p>
      </xdr:txBody>
    </xdr:sp>
    <xdr:clientData/>
  </xdr:twoCellAnchor>
  <xdr:twoCellAnchor>
    <xdr:from>
      <xdr:col>26</xdr:col>
      <xdr:colOff>129540</xdr:colOff>
      <xdr:row>5</xdr:row>
      <xdr:rowOff>139700</xdr:rowOff>
    </xdr:from>
    <xdr:to>
      <xdr:col>29</xdr:col>
      <xdr:colOff>505460</xdr:colOff>
      <xdr:row>7</xdr:row>
      <xdr:rowOff>114300</xdr:rowOff>
    </xdr:to>
    <xdr:sp macro="" textlink="Dashboard!$AF$7">
      <xdr:nvSpPr>
        <xdr:cNvPr id="34" name="TextBox 33">
          <a:extLst>
            <a:ext uri="{FF2B5EF4-FFF2-40B4-BE49-F238E27FC236}">
              <a16:creationId xmlns:a16="http://schemas.microsoft.com/office/drawing/2014/main" id="{ADBA70D0-BB7F-8961-0BDB-EDF8C49F29B3}"/>
            </a:ext>
          </a:extLst>
        </xdr:cNvPr>
        <xdr:cNvSpPr txBox="1"/>
      </xdr:nvSpPr>
      <xdr:spPr>
        <a:xfrm>
          <a:off x="145923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50957CFA-88CA-40F4-943D-A1BB070BA8AB}" type="TxLink">
            <a:rPr lang="en-US" sz="2600" b="1" i="0" u="none" strike="noStrike">
              <a:solidFill>
                <a:srgbClr val="08326E"/>
              </a:solidFill>
              <a:latin typeface="Aptos"/>
            </a:rPr>
            <a:pPr algn="ctr"/>
            <a:t>3.90</a:t>
          </a:fld>
          <a:endParaRPr lang="en-IN" sz="2600" b="1">
            <a:solidFill>
              <a:srgbClr val="08326E"/>
            </a:solidFill>
          </a:endParaRPr>
        </a:p>
      </xdr:txBody>
    </xdr:sp>
    <xdr:clientData/>
  </xdr:twoCellAnchor>
  <xdr:twoCellAnchor>
    <xdr:from>
      <xdr:col>26</xdr:col>
      <xdr:colOff>129540</xdr:colOff>
      <xdr:row>7</xdr:row>
      <xdr:rowOff>50800</xdr:rowOff>
    </xdr:from>
    <xdr:to>
      <xdr:col>29</xdr:col>
      <xdr:colOff>505460</xdr:colOff>
      <xdr:row>7</xdr:row>
      <xdr:rowOff>215900</xdr:rowOff>
    </xdr:to>
    <xdr:sp macro="" textlink="">
      <xdr:nvSpPr>
        <xdr:cNvPr id="35" name="TextBox 34">
          <a:extLst>
            <a:ext uri="{FF2B5EF4-FFF2-40B4-BE49-F238E27FC236}">
              <a16:creationId xmlns:a16="http://schemas.microsoft.com/office/drawing/2014/main" id="{63032794-21D7-C996-B318-1E3A2B474041}"/>
            </a:ext>
          </a:extLst>
        </xdr:cNvPr>
        <xdr:cNvSpPr txBox="1"/>
      </xdr:nvSpPr>
      <xdr:spPr>
        <a:xfrm>
          <a:off x="145923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800">
              <a:solidFill>
                <a:srgbClr val="5A6473"/>
              </a:solidFill>
            </a:rPr>
            <a:t>Out of 5 Stars</a:t>
          </a:r>
        </a:p>
      </xdr:txBody>
    </xdr:sp>
    <xdr:clientData/>
  </xdr:twoCellAnchor>
  <xdr:twoCellAnchor>
    <xdr:from>
      <xdr:col>0</xdr:col>
      <xdr:colOff>0</xdr:colOff>
      <xdr:row>9</xdr:row>
      <xdr:rowOff>0</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FFB7776D-ED37-4913-75B2-85AAFD4DC0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22</xdr:col>
      <xdr:colOff>0</xdr:colOff>
      <xdr:row>18</xdr:row>
      <xdr:rowOff>0</xdr:rowOff>
    </xdr:to>
    <xdr:graphicFrame macro="">
      <xdr:nvGraphicFramePr>
        <xdr:cNvPr id="37" name="Chart 36">
          <a:extLst>
            <a:ext uri="{FF2B5EF4-FFF2-40B4-BE49-F238E27FC236}">
              <a16:creationId xmlns:a16="http://schemas.microsoft.com/office/drawing/2014/main" id="{8E515E65-A62E-9541-E467-2D5E2C04EB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12</xdr:col>
      <xdr:colOff>0</xdr:colOff>
      <xdr:row>28</xdr:row>
      <xdr:rowOff>0</xdr:rowOff>
    </xdr:to>
    <xdr:graphicFrame macro="">
      <xdr:nvGraphicFramePr>
        <xdr:cNvPr id="38" name="Chart 37">
          <a:extLst>
            <a:ext uri="{FF2B5EF4-FFF2-40B4-BE49-F238E27FC236}">
              <a16:creationId xmlns:a16="http://schemas.microsoft.com/office/drawing/2014/main" id="{B9357C2D-5DEB-648F-FA63-31EA562513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22</xdr:col>
      <xdr:colOff>0</xdr:colOff>
      <xdr:row>28</xdr:row>
      <xdr:rowOff>0</xdr:rowOff>
    </xdr:to>
    <xdr:graphicFrame macro="">
      <xdr:nvGraphicFramePr>
        <xdr:cNvPr id="39" name="Chart 38">
          <a:extLst>
            <a:ext uri="{FF2B5EF4-FFF2-40B4-BE49-F238E27FC236}">
              <a16:creationId xmlns:a16="http://schemas.microsoft.com/office/drawing/2014/main" id="{6CE33D84-67CE-E09F-DC9D-AF3011E02F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18</xdr:row>
      <xdr:rowOff>0</xdr:rowOff>
    </xdr:from>
    <xdr:to>
      <xdr:col>30</xdr:col>
      <xdr:colOff>21771</xdr:colOff>
      <xdr:row>28</xdr:row>
      <xdr:rowOff>0</xdr:rowOff>
    </xdr:to>
    <xdr:graphicFrame macro="">
      <xdr:nvGraphicFramePr>
        <xdr:cNvPr id="40" name="Chart 39">
          <a:extLst>
            <a:ext uri="{FF2B5EF4-FFF2-40B4-BE49-F238E27FC236}">
              <a16:creationId xmlns:a16="http://schemas.microsoft.com/office/drawing/2014/main" id="{36056A4D-C950-28B8-4474-A8340ADAFB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23949</xdr:colOff>
      <xdr:row>8</xdr:row>
      <xdr:rowOff>224244</xdr:rowOff>
    </xdr:from>
    <xdr:to>
      <xdr:col>30</xdr:col>
      <xdr:colOff>32657</xdr:colOff>
      <xdr:row>13</xdr:row>
      <xdr:rowOff>224244</xdr:rowOff>
    </xdr:to>
    <mc:AlternateContent xmlns:mc="http://schemas.openxmlformats.org/markup-compatibility/2006" xmlns:a14="http://schemas.microsoft.com/office/drawing/2010/main">
      <mc:Choice Requires="a14">
        <xdr:graphicFrame macro="">
          <xdr:nvGraphicFramePr>
            <xdr:cNvPr id="41" name="Month">
              <a:extLst>
                <a:ext uri="{FF2B5EF4-FFF2-40B4-BE49-F238E27FC236}">
                  <a16:creationId xmlns:a16="http://schemas.microsoft.com/office/drawing/2014/main" id="{0F8A329E-F82A-C728-2ABE-12811A66D0C8}"/>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2237720" y="2183673"/>
              <a:ext cx="4450080" cy="1143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23949</xdr:colOff>
      <xdr:row>14</xdr:row>
      <xdr:rowOff>6531</xdr:rowOff>
    </xdr:from>
    <xdr:to>
      <xdr:col>30</xdr:col>
      <xdr:colOff>32657</xdr:colOff>
      <xdr:row>18</xdr:row>
      <xdr:rowOff>6531</xdr:rowOff>
    </xdr:to>
    <mc:AlternateContent xmlns:mc="http://schemas.openxmlformats.org/markup-compatibility/2006" xmlns:a14="http://schemas.microsoft.com/office/drawing/2010/main">
      <mc:Choice Requires="a14">
        <xdr:graphicFrame macro="">
          <xdr:nvGraphicFramePr>
            <xdr:cNvPr id="42" name="City">
              <a:extLst>
                <a:ext uri="{FF2B5EF4-FFF2-40B4-BE49-F238E27FC236}">
                  <a16:creationId xmlns:a16="http://schemas.microsoft.com/office/drawing/2014/main" id="{420E72AC-2BD3-1026-8C49-E11EC06D66F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2237720" y="3337560"/>
              <a:ext cx="4450080" cy="914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ISWAJEET OJHA" refreshedDate="46228.569409606484" createdVersion="8" refreshedVersion="8" minRefreshableVersion="3" recordCount="220" xr:uid="{04A6B199-E597-4D2B-8A1F-A6381C101A89}">
  <cacheSource type="worksheet">
    <worksheetSource ref="A1:Z221" sheet="Orders"/>
  </cacheSource>
  <cacheFields count="26">
    <cacheField name="Order ID" numFmtId="0">
      <sharedItems/>
    </cacheField>
    <cacheField name="Order Date" numFmtId="168">
      <sharedItems containsSemiMixedTypes="0" containsNonDate="0" containsDate="1" containsString="0" minDate="2026-01-02T22:26:00" maxDate="2026-06-30T15:28:00"/>
    </cacheField>
    <cacheField name="Customer Name" numFmtId="0">
      <sharedItems/>
    </cacheField>
    <cacheField name="City" numFmtId="0">
      <sharedItems count="8">
        <s v="Hyderabad"/>
        <s v="Chennai"/>
        <s v="Kolkata"/>
        <s v="Bengaluru"/>
        <s v="Delhi"/>
        <s v="Pune"/>
        <s v="Mumbai"/>
        <s v="Bhubaneswar"/>
      </sharedItems>
    </cacheField>
    <cacheField name="Channel" numFmtId="0">
      <sharedItems/>
    </cacheField>
    <cacheField name="Category" numFmtId="0">
      <sharedItems count="6">
        <s v="Grocery"/>
        <s v="Food &amp; Beverage"/>
        <s v="Pharmacy"/>
        <s v="Fashion"/>
        <s v="Electronics"/>
        <s v="Home &amp; Living"/>
      </sharedItems>
    </cacheField>
    <cacheField name="Items" numFmtId="0">
      <sharedItems containsSemiMixedTypes="0" containsString="0" containsNumber="1" containsInteger="1" minValue="1" maxValue="6"/>
    </cacheField>
    <cacheField name="Order Value ($)" numFmtId="167">
      <sharedItems containsSemiMixedTypes="0" containsString="0" containsNumber="1" minValue="100.55" maxValue="14344.19"/>
    </cacheField>
    <cacheField name="Discount %" numFmtId="9">
      <sharedItems containsSemiMixedTypes="0" containsString="0" containsNumber="1" minValue="0" maxValue="0.2"/>
    </cacheField>
    <cacheField name="Delivery Charge ($)" numFmtId="167">
      <sharedItems containsSemiMixedTypes="0" containsString="0" containsNumber="1" containsInteger="1" minValue="0" maxValue="59"/>
    </cacheField>
    <cacheField name="Net Revenue ($)" numFmtId="169">
      <sharedItems containsSemiMixedTypes="0" containsString="0" containsNumber="1" minValue="0" maxValue="13454.945"/>
    </cacheField>
    <cacheField name="Payment Method" numFmtId="0">
      <sharedItems count="4">
        <s v="Cash on Delivery"/>
        <s v="Credit/Debit Card"/>
        <s v="Net Banking"/>
        <s v="UPI/Wallet"/>
      </sharedItems>
    </cacheField>
    <cacheField name="Delivery Partner" numFmtId="0">
      <sharedItems/>
    </cacheField>
    <cacheField name="Delivery Status" numFmtId="0">
      <sharedItems count="3">
        <s v="Delivered"/>
        <s v="Cancelled"/>
        <s v="Returned"/>
      </sharedItems>
    </cacheField>
    <cacheField name="Delivery Time (mins)" numFmtId="0">
      <sharedItems containsString="0" containsBlank="1" containsNumber="1" containsInteger="1" minValue="18" maxValue="95"/>
    </cacheField>
    <cacheField name="Customer Rating (1-5)" numFmtId="0">
      <sharedItems containsString="0" containsBlank="1" containsNumber="1" containsInteger="1" minValue="1" maxValue="5"/>
    </cacheField>
    <cacheField name="Month" numFmtId="0">
      <sharedItems count="6">
        <s v="Jan-2026"/>
        <s v="Feb-2026"/>
        <s v="Mar-2026"/>
        <s v="Apr-2026"/>
        <s v="May-2026"/>
        <s v="Jun-2026"/>
      </sharedItems>
    </cacheField>
    <cacheField name="Cost of Goods ($)" numFmtId="167">
      <sharedItems containsSemiMixedTypes="0" containsString="0" containsNumber="1" minValue="0" maxValue="12622.887200000001"/>
    </cacheField>
    <cacheField name="Fulfillment Cost ($)" numFmtId="167">
      <sharedItems containsSemiMixedTypes="0" containsString="0" containsNumber="1" minValue="15" maxValue="73.2"/>
    </cacheField>
    <cacheField name="Total Cost ($)" numFmtId="167">
      <sharedItems containsSemiMixedTypes="0" containsString="0" containsNumber="1" minValue="15" maxValue="12679.887200000001"/>
    </cacheField>
    <cacheField name="Net Profit/(Loss) ($)" numFmtId="169">
      <sharedItems containsSemiMixedTypes="0" containsString="0" containsNumber="1" minValue="-12679.887200000001" maxValue="2065.9509999999996"/>
    </cacheField>
    <cacheField name="Profit ($)" numFmtId="169">
      <sharedItems containsSemiMixedTypes="0" containsString="0" containsNumber="1" minValue="0" maxValue="2065.9509999999996"/>
    </cacheField>
    <cacheField name="Profit %" numFmtId="165">
      <sharedItems containsSemiMixedTypes="0" containsString="0" containsNumber="1" minValue="0" maxValue="0.69780571794666446"/>
    </cacheField>
    <cacheField name="Loss ($)" numFmtId="169">
      <sharedItems containsSemiMixedTypes="0" containsString="0" containsNumber="1" minValue="0" maxValue="12679.887200000001"/>
    </cacheField>
    <cacheField name="Loss %" numFmtId="165">
      <sharedItems containsSemiMixedTypes="0" containsString="0" containsNumber="1" minValue="0" maxValue="0.88719078079373725"/>
    </cacheField>
    <cacheField name="Loss Cause" numFmtId="0">
      <sharedItems/>
    </cacheField>
  </cacheFields>
  <extLst>
    <ext xmlns:x14="http://schemas.microsoft.com/office/spreadsheetml/2009/9/main" uri="{725AE2AE-9491-48be-B2B4-4EB974FC3084}">
      <x14:pivotCacheDefinition pivotCacheId="140311100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20">
  <r>
    <s v="ORD10206"/>
    <d v="2026-01-02T22:26:00"/>
    <s v="Isha Das"/>
    <x v="0"/>
    <s v="Mobile App"/>
    <x v="0"/>
    <n v="6"/>
    <n v="1031.55"/>
    <n v="0"/>
    <n v="0"/>
    <n v="1031.55"/>
    <x v="0"/>
    <s v="Jyoti Panda"/>
    <x v="0"/>
    <n v="66"/>
    <n v="5"/>
    <x v="0"/>
    <n v="804.60900000000004"/>
    <n v="44.8"/>
    <n v="849.40899999999999"/>
    <n v="182.14099999999996"/>
    <n v="182.14099999999996"/>
    <n v="0.17657020987833841"/>
    <n v="0"/>
    <n v="0"/>
    <s v="Profitable"/>
  </r>
  <r>
    <s v="ORD10159"/>
    <d v="2026-01-04T08:33:00"/>
    <s v="Sneha Das"/>
    <x v="1"/>
    <s v="Mobile App"/>
    <x v="1"/>
    <n v="3"/>
    <n v="113.71"/>
    <n v="0.2"/>
    <n v="59"/>
    <n v="149.96800000000002"/>
    <x v="1"/>
    <s v="Deepak Sahu"/>
    <x v="0"/>
    <n v="30"/>
    <n v="5"/>
    <x v="0"/>
    <n v="51.169499999999999"/>
    <n v="34"/>
    <n v="85.169499999999999"/>
    <n v="64.798500000000018"/>
    <n v="64.798500000000018"/>
    <n v="0.56985753231905745"/>
    <n v="0"/>
    <n v="0"/>
    <s v="Profitable"/>
  </r>
  <r>
    <s v="ORD10039"/>
    <d v="2026-01-04T21:26:00"/>
    <s v="Riya Pillai"/>
    <x v="2"/>
    <s v="Mobile App"/>
    <x v="2"/>
    <n v="3"/>
    <n v="982.53"/>
    <n v="0.2"/>
    <n v="59"/>
    <n v="845.024"/>
    <x v="1"/>
    <s v="Imran Khan"/>
    <x v="0"/>
    <n v="84"/>
    <n v="5"/>
    <x v="0"/>
    <n v="687.77099999999996"/>
    <n v="50.2"/>
    <n v="737.971"/>
    <n v="107.053"/>
    <n v="107.053"/>
    <n v="0.10895646952255911"/>
    <n v="0"/>
    <n v="0"/>
    <s v="Profitable"/>
  </r>
  <r>
    <s v="ORD10167"/>
    <d v="2026-01-07T09:22:00"/>
    <s v="Ishaan Iyer"/>
    <x v="3"/>
    <s v="Mobile App"/>
    <x v="3"/>
    <n v="3"/>
    <n v="3495.76"/>
    <n v="0"/>
    <n v="0"/>
    <n v="3495.76"/>
    <x v="0"/>
    <s v="Sunil Barik"/>
    <x v="0"/>
    <n v="28"/>
    <n v="5"/>
    <x v="0"/>
    <n v="1922.6680000000003"/>
    <n v="33.4"/>
    <n v="1956.0680000000004"/>
    <n v="1539.6919999999998"/>
    <n v="1539.6919999999998"/>
    <n v="0.4404455683456529"/>
    <n v="0"/>
    <n v="0"/>
    <s v="Profitable"/>
  </r>
  <r>
    <s v="ORD10041"/>
    <d v="2026-01-08T15:54:00"/>
    <s v="Pooja Sharma"/>
    <x v="0"/>
    <s v="Mobile App"/>
    <x v="4"/>
    <n v="3"/>
    <n v="12129.22"/>
    <n v="0"/>
    <n v="0"/>
    <n v="0"/>
    <x v="0"/>
    <s v="Imran Khan"/>
    <x v="1"/>
    <m/>
    <m/>
    <x v="0"/>
    <n v="0"/>
    <n v="15"/>
    <n v="15"/>
    <n v="-15"/>
    <n v="0"/>
    <n v="0"/>
    <n v="15"/>
    <n v="1.2366829853857049E-3"/>
    <s v="Order Cancelled"/>
  </r>
  <r>
    <s v="ORD10203"/>
    <d v="2026-01-12T15:23:00"/>
    <s v="Arjun Patel"/>
    <x v="4"/>
    <s v="Mobile App"/>
    <x v="4"/>
    <n v="1"/>
    <n v="8650.68"/>
    <n v="0.15"/>
    <n v="0"/>
    <n v="7353.0780000000004"/>
    <x v="2"/>
    <s v="Kunal Mehta"/>
    <x v="0"/>
    <n v="49"/>
    <n v="4"/>
    <x v="0"/>
    <n v="7612.5983999999999"/>
    <n v="39.700000000000003"/>
    <n v="7652.2983999999997"/>
    <n v="-299.22039999999924"/>
    <n v="0"/>
    <n v="0"/>
    <n v="299.22039999999924"/>
    <n v="3.4589234603522409E-2"/>
    <s v="High Discount"/>
  </r>
  <r>
    <s v="ORD10029"/>
    <d v="2026-01-13T16:15:00"/>
    <s v="Divya Pillai"/>
    <x v="2"/>
    <s v="Mobile App"/>
    <x v="5"/>
    <n v="2"/>
    <n v="4848.22"/>
    <n v="0.15"/>
    <n v="0"/>
    <n v="0"/>
    <x v="0"/>
    <s v="Rekha Sethi"/>
    <x v="2"/>
    <n v="74"/>
    <n v="3"/>
    <x v="0"/>
    <n v="3151.3430000000003"/>
    <n v="67.2"/>
    <n v="3218.5430000000001"/>
    <n v="-3218.5430000000001"/>
    <n v="0"/>
    <n v="0"/>
    <n v="3218.5430000000001"/>
    <n v="0.66386075714385895"/>
    <s v="Order Returned"/>
  </r>
  <r>
    <s v="ORD10013"/>
    <d v="2026-01-13T17:30:00"/>
    <s v="Yash Reddy"/>
    <x v="0"/>
    <s v="Website"/>
    <x v="3"/>
    <n v="2"/>
    <n v="510.45"/>
    <n v="0.1"/>
    <n v="29"/>
    <n v="488.40499999999997"/>
    <x v="1"/>
    <s v="Harpreet Singh"/>
    <x v="0"/>
    <n v="26"/>
    <n v="5"/>
    <x v="0"/>
    <n v="280.7475"/>
    <n v="32.799999999999997"/>
    <n v="313.54750000000001"/>
    <n v="174.85749999999996"/>
    <n v="174.85749999999996"/>
    <n v="0.34255558820648441"/>
    <n v="0"/>
    <n v="0"/>
    <s v="Profitable"/>
  </r>
  <r>
    <s v="ORD10084"/>
    <d v="2026-01-14T10:10:00"/>
    <s v="Aryan Joshi"/>
    <x v="5"/>
    <s v="Mobile App"/>
    <x v="1"/>
    <n v="1"/>
    <n v="317.68"/>
    <n v="0.15"/>
    <n v="59"/>
    <n v="329.02800000000002"/>
    <x v="2"/>
    <s v="Gaurav Nanda"/>
    <x v="0"/>
    <n v="71"/>
    <n v="4"/>
    <x v="0"/>
    <n v="142.95600000000002"/>
    <n v="46.3"/>
    <n v="189.25600000000003"/>
    <n v="139.77199999999999"/>
    <n v="139.77199999999999"/>
    <n v="0.43997733568370684"/>
    <n v="0"/>
    <n v="0"/>
    <s v="Profitable"/>
  </r>
  <r>
    <s v="ORD10153"/>
    <d v="2026-01-19T11:51:00"/>
    <s v="Simran Reddy"/>
    <x v="2"/>
    <s v="Website"/>
    <x v="1"/>
    <n v="5"/>
    <n v="273.61"/>
    <n v="0"/>
    <n v="49"/>
    <n v="49"/>
    <x v="0"/>
    <s v="Gaurav Nanda"/>
    <x v="2"/>
    <n v="19"/>
    <n v="1"/>
    <x v="0"/>
    <n v="123.12450000000001"/>
    <n v="50.7"/>
    <n v="173.8245"/>
    <n v="-124.8245"/>
    <n v="0"/>
    <n v="0"/>
    <n v="124.8245"/>
    <n v="0.4562132232009064"/>
    <s v="Order Returned"/>
  </r>
  <r>
    <s v="ORD10008"/>
    <d v="2026-01-19T19:40:00"/>
    <s v="Rohan Agarwal"/>
    <x v="2"/>
    <s v="Mobile App"/>
    <x v="0"/>
    <n v="1"/>
    <n v="1052.6199999999999"/>
    <n v="0"/>
    <n v="0"/>
    <n v="1052.6199999999999"/>
    <x v="1"/>
    <s v="Sunil Barik"/>
    <x v="0"/>
    <n v="80"/>
    <n v="3"/>
    <x v="0"/>
    <n v="821.04359999999997"/>
    <n v="49"/>
    <n v="870.04359999999997"/>
    <n v="182.57639999999992"/>
    <n v="182.57639999999992"/>
    <n v="0.17344948794436732"/>
    <n v="0"/>
    <n v="0"/>
    <s v="Profitable"/>
  </r>
  <r>
    <s v="ORD10192"/>
    <d v="2026-01-20T10:37:00"/>
    <s v="Yash Patel"/>
    <x v="5"/>
    <s v="Mobile App"/>
    <x v="0"/>
    <n v="1"/>
    <n v="158.47"/>
    <n v="0"/>
    <n v="29"/>
    <n v="187.47"/>
    <x v="2"/>
    <s v="Harpreet Singh"/>
    <x v="0"/>
    <n v="79"/>
    <n v="3"/>
    <x v="0"/>
    <n v="123.6066"/>
    <n v="48.7"/>
    <n v="172.3066"/>
    <n v="15.163399999999996"/>
    <n v="15.163399999999996"/>
    <n v="9.5686249763362125E-2"/>
    <n v="0"/>
    <n v="0"/>
    <s v="Profitable"/>
  </r>
  <r>
    <s v="ORD10208"/>
    <d v="2026-01-20T17:36:00"/>
    <s v="Arjun Iyer"/>
    <x v="5"/>
    <s v="Mobile App"/>
    <x v="0"/>
    <n v="2"/>
    <n v="398.61"/>
    <n v="0"/>
    <n v="49"/>
    <n v="447.61"/>
    <x v="2"/>
    <s v="Omkar Naik"/>
    <x v="0"/>
    <n v="59"/>
    <n v="4"/>
    <x v="0"/>
    <n v="310.91580000000005"/>
    <n v="42.7"/>
    <n v="353.61580000000004"/>
    <n v="93.994199999999978"/>
    <n v="93.994199999999978"/>
    <n v="0.23580492210431242"/>
    <n v="0"/>
    <n v="0"/>
    <s v="Profitable"/>
  </r>
  <r>
    <s v="ORD10143"/>
    <d v="2026-01-20T22:36:00"/>
    <s v="Tanya Das"/>
    <x v="2"/>
    <s v="Website"/>
    <x v="0"/>
    <n v="5"/>
    <n v="362.26"/>
    <n v="0.1"/>
    <n v="39"/>
    <n v="365.03399999999999"/>
    <x v="1"/>
    <s v="Bikash Mallick"/>
    <x v="0"/>
    <n v="84"/>
    <n v="4"/>
    <x v="0"/>
    <n v="282.56279999999998"/>
    <n v="50.2"/>
    <n v="332.76279999999997"/>
    <n v="32.271200000000022"/>
    <n v="32.271200000000022"/>
    <n v="8.9082979075801969E-2"/>
    <n v="0"/>
    <n v="0"/>
    <s v="Profitable"/>
  </r>
  <r>
    <s v="ORD10019"/>
    <d v="2026-01-20T22:44:00"/>
    <s v="Ishaan Bose"/>
    <x v="0"/>
    <s v="Mobile App"/>
    <x v="5"/>
    <n v="3"/>
    <n v="3578.56"/>
    <n v="0"/>
    <n v="0"/>
    <n v="3578.56"/>
    <x v="2"/>
    <s v="Ramesh Yadav"/>
    <x v="0"/>
    <n v="57"/>
    <n v="4"/>
    <x v="0"/>
    <n v="2326.0639999999999"/>
    <n v="42.099999999999994"/>
    <n v="2368.1639999999998"/>
    <n v="1210.3960000000002"/>
    <n v="1210.3960000000002"/>
    <n v="0.33823549137083081"/>
    <n v="0"/>
    <n v="0"/>
    <s v="Profitable"/>
  </r>
  <r>
    <s v="ORD10077"/>
    <d v="2026-01-21T13:38:00"/>
    <s v="Sahil Ghosh"/>
    <x v="6"/>
    <s v="Mobile App"/>
    <x v="0"/>
    <n v="5"/>
    <n v="814.73"/>
    <n v="0.1"/>
    <n v="49"/>
    <n v="49"/>
    <x v="2"/>
    <s v="Omkar Naik"/>
    <x v="2"/>
    <n v="85"/>
    <n v="2"/>
    <x v="0"/>
    <n v="635.48940000000005"/>
    <n v="70.5"/>
    <n v="705.98940000000005"/>
    <n v="-656.98940000000005"/>
    <n v="0"/>
    <n v="0"/>
    <n v="656.98940000000005"/>
    <n v="0.80638911050286599"/>
    <s v="Order Returned"/>
  </r>
  <r>
    <s v="ORD10042"/>
    <d v="2026-01-22T11:46:00"/>
    <s v="Sneha Kapoor"/>
    <x v="0"/>
    <s v="Mobile App"/>
    <x v="3"/>
    <n v="2"/>
    <n v="2855.25"/>
    <n v="0.15"/>
    <n v="0"/>
    <n v="2426.9625000000001"/>
    <x v="2"/>
    <s v="Jyoti Panda"/>
    <x v="0"/>
    <n v="20"/>
    <n v="3"/>
    <x v="0"/>
    <n v="1570.3875"/>
    <n v="31"/>
    <n v="1601.3875"/>
    <n v="825.57500000000005"/>
    <n v="825.57500000000005"/>
    <n v="0.28914280710971019"/>
    <n v="0"/>
    <n v="0"/>
    <s v="Profitable"/>
  </r>
  <r>
    <s v="ORD10191"/>
    <d v="2026-01-22T13:42:00"/>
    <s v="Aarav Das"/>
    <x v="2"/>
    <s v="Mobile App"/>
    <x v="5"/>
    <n v="4"/>
    <n v="3828.5"/>
    <n v="0.15"/>
    <n v="0"/>
    <n v="3254.2249999999999"/>
    <x v="1"/>
    <s v="Bikash Mallick"/>
    <x v="0"/>
    <n v="29"/>
    <n v="5"/>
    <x v="0"/>
    <n v="2488.5250000000001"/>
    <n v="33.700000000000003"/>
    <n v="2522.2249999999999"/>
    <n v="732"/>
    <n v="732"/>
    <n v="0.19119759697009273"/>
    <n v="0"/>
    <n v="0"/>
    <s v="Profitable"/>
  </r>
  <r>
    <s v="ORD10205"/>
    <d v="2026-01-23T16:29:00"/>
    <s v="Aryan Iyer"/>
    <x v="3"/>
    <s v="Mobile App"/>
    <x v="0"/>
    <n v="5"/>
    <n v="973.73"/>
    <n v="0.15"/>
    <n v="39"/>
    <n v="866.67049999999995"/>
    <x v="2"/>
    <s v="Sunil Barik"/>
    <x v="0"/>
    <n v="81"/>
    <n v="3"/>
    <x v="0"/>
    <n v="759.50940000000003"/>
    <n v="49.3"/>
    <n v="808.80939999999998"/>
    <n v="57.861099999999965"/>
    <n v="57.861099999999965"/>
    <n v="5.9422119067914066E-2"/>
    <n v="0"/>
    <n v="0"/>
    <s v="Profitable"/>
  </r>
  <r>
    <s v="ORD10219"/>
    <d v="2026-01-24T08:14:00"/>
    <s v="Aarav Nair"/>
    <x v="3"/>
    <s v="Mobile App"/>
    <x v="1"/>
    <n v="4"/>
    <n v="100.55"/>
    <n v="0.1"/>
    <n v="39"/>
    <n v="129.495"/>
    <x v="1"/>
    <s v="Ramesh Yadav"/>
    <x v="0"/>
    <n v="40"/>
    <n v="4"/>
    <x v="0"/>
    <n v="45.247500000000002"/>
    <n v="37"/>
    <n v="82.247500000000002"/>
    <n v="47.247500000000002"/>
    <n v="47.247500000000002"/>
    <n v="0.46989060169070118"/>
    <n v="0"/>
    <n v="0"/>
    <s v="Profitable"/>
  </r>
  <r>
    <s v="ORD10188"/>
    <d v="2026-01-24T19:29:00"/>
    <s v="Varun Singh"/>
    <x v="4"/>
    <s v="Website"/>
    <x v="1"/>
    <n v="1"/>
    <n v="736.54"/>
    <n v="0.05"/>
    <n v="39"/>
    <n v="738.71299999999997"/>
    <x v="2"/>
    <s v="Kunal Mehta"/>
    <x v="0"/>
    <n v="81"/>
    <n v="4"/>
    <x v="0"/>
    <n v="331.44299999999998"/>
    <n v="49.3"/>
    <n v="380.74299999999999"/>
    <n v="357.96999999999997"/>
    <n v="357.96999999999997"/>
    <n v="0.4860156950063812"/>
    <n v="0"/>
    <n v="0"/>
    <s v="Profitable"/>
  </r>
  <r>
    <s v="ORD10069"/>
    <d v="2026-01-24T20:25:00"/>
    <s v="Ananya Sharma"/>
    <x v="4"/>
    <s v="Mobile App"/>
    <x v="0"/>
    <n v="4"/>
    <n v="537.01"/>
    <n v="0.15"/>
    <n v="49"/>
    <n v="505.45849999999996"/>
    <x v="2"/>
    <s v="Harpreet Singh"/>
    <x v="0"/>
    <n v="65"/>
    <n v="3"/>
    <x v="0"/>
    <n v="418.86779999999999"/>
    <n v="44.5"/>
    <n v="463.36779999999999"/>
    <n v="42.09069999999997"/>
    <n v="42.09069999999997"/>
    <n v="7.8379732221001419E-2"/>
    <n v="0"/>
    <n v="0"/>
    <s v="Profitable"/>
  </r>
  <r>
    <s v="ORD10144"/>
    <d v="2026-01-24T22:32:00"/>
    <s v="Yash Mishra"/>
    <x v="7"/>
    <s v="Mobile App"/>
    <x v="3"/>
    <n v="2"/>
    <n v="2199.02"/>
    <n v="0.05"/>
    <n v="0"/>
    <n v="2089.069"/>
    <x v="3"/>
    <s v="Suresh Kumar"/>
    <x v="0"/>
    <n v="57"/>
    <n v="5"/>
    <x v="0"/>
    <n v="1209.461"/>
    <n v="42.099999999999994"/>
    <n v="1251.5609999999999"/>
    <n v="837.50800000000004"/>
    <n v="837.50800000000004"/>
    <n v="0.38085510818455498"/>
    <n v="0"/>
    <n v="0"/>
    <s v="Profitable"/>
  </r>
  <r>
    <s v="ORD10011"/>
    <d v="2026-01-24T22:48:00"/>
    <s v="Tara Malhotra"/>
    <x v="1"/>
    <s v="Mobile App"/>
    <x v="2"/>
    <n v="4"/>
    <n v="763.53"/>
    <n v="0.2"/>
    <n v="59"/>
    <n v="669.82399999999996"/>
    <x v="3"/>
    <s v="Imran Khan"/>
    <x v="0"/>
    <n v="18"/>
    <n v="4"/>
    <x v="0"/>
    <n v="534.471"/>
    <n v="30.4"/>
    <n v="564.87099999999998"/>
    <n v="104.95299999999997"/>
    <n v="104.95299999999997"/>
    <n v="0.13745759826071011"/>
    <n v="0"/>
    <n v="0"/>
    <s v="Profitable"/>
  </r>
  <r>
    <s v="ORD10176"/>
    <d v="2026-01-25T15:46:00"/>
    <s v="Tara Iyer"/>
    <x v="3"/>
    <s v="Mobile App"/>
    <x v="1"/>
    <n v="3"/>
    <n v="135.75"/>
    <n v="0.15"/>
    <n v="29"/>
    <n v="144.38749999999999"/>
    <x v="3"/>
    <s v="Farhan Ali"/>
    <x v="0"/>
    <n v="31"/>
    <n v="5"/>
    <x v="0"/>
    <n v="61.087499999999999"/>
    <n v="34.299999999999997"/>
    <n v="95.387499999999989"/>
    <n v="49"/>
    <n v="49"/>
    <n v="0.36095764272559855"/>
    <n v="0"/>
    <n v="0"/>
    <s v="Profitable"/>
  </r>
  <r>
    <s v="ORD10164"/>
    <d v="2026-01-26T14:14:00"/>
    <s v="Sneha Bose"/>
    <x v="6"/>
    <s v="Mobile App"/>
    <x v="2"/>
    <n v="5"/>
    <n v="1435.9"/>
    <n v="0.05"/>
    <n v="0"/>
    <n v="1364.105"/>
    <x v="0"/>
    <s v="Pankaj Dey"/>
    <x v="0"/>
    <n v="52"/>
    <n v="4"/>
    <x v="0"/>
    <n v="1005.13"/>
    <n v="40.6"/>
    <n v="1045.73"/>
    <n v="318.375"/>
    <n v="318.375"/>
    <n v="0.22172505049098126"/>
    <n v="0"/>
    <n v="0"/>
    <s v="Profitable"/>
  </r>
  <r>
    <s v="ORD10060"/>
    <d v="2026-01-26T16:58:00"/>
    <s v="Nikhil Kapoor"/>
    <x v="5"/>
    <s v="Website"/>
    <x v="3"/>
    <n v="4"/>
    <n v="3522.45"/>
    <n v="0"/>
    <n v="0"/>
    <n v="3522.45"/>
    <x v="3"/>
    <s v="Usha Rani"/>
    <x v="0"/>
    <n v="51"/>
    <n v="4"/>
    <x v="0"/>
    <n v="1937.3475000000001"/>
    <n v="40.299999999999997"/>
    <n v="1977.6475"/>
    <n v="1544.8024999999998"/>
    <n v="1544.8024999999998"/>
    <n v="0.43855909949041144"/>
    <n v="0"/>
    <n v="0"/>
    <s v="Profitable"/>
  </r>
  <r>
    <s v="ORD10062"/>
    <d v="2026-01-26T20:40:00"/>
    <s v="Divya Nair"/>
    <x v="0"/>
    <s v="Mobile App"/>
    <x v="1"/>
    <n v="2"/>
    <n v="655.20000000000005"/>
    <n v="0"/>
    <n v="29"/>
    <n v="684.2"/>
    <x v="0"/>
    <s v="Lalita Rout"/>
    <x v="0"/>
    <n v="55"/>
    <n v="4"/>
    <x v="0"/>
    <n v="294.84000000000003"/>
    <n v="41.5"/>
    <n v="336.34000000000003"/>
    <n v="347.86"/>
    <n v="347.86"/>
    <n v="0.53092185592185592"/>
    <n v="0"/>
    <n v="0"/>
    <s v="Profitable"/>
  </r>
  <r>
    <s v="ORD10078"/>
    <d v="2026-01-26T20:44:00"/>
    <s v="Karan Malhotra"/>
    <x v="6"/>
    <s v="Mobile App"/>
    <x v="0"/>
    <n v="5"/>
    <n v="906.88"/>
    <n v="0"/>
    <n v="59"/>
    <n v="0"/>
    <x v="2"/>
    <s v="Nisha Pradhan"/>
    <x v="1"/>
    <m/>
    <m/>
    <x v="0"/>
    <n v="0"/>
    <n v="15"/>
    <n v="15"/>
    <n v="-15"/>
    <n v="0"/>
    <n v="0"/>
    <n v="15"/>
    <n v="1.6540225829216656E-2"/>
    <s v="Order Cancelled"/>
  </r>
  <r>
    <s v="ORD10193"/>
    <d v="2026-01-27T13:23:00"/>
    <s v="Rahul Bose"/>
    <x v="0"/>
    <s v="Mobile App"/>
    <x v="2"/>
    <n v="2"/>
    <n v="991.04"/>
    <n v="0.15"/>
    <n v="39"/>
    <n v="881.3839999999999"/>
    <x v="3"/>
    <s v="Farhan Ali"/>
    <x v="0"/>
    <n v="19"/>
    <n v="5"/>
    <x v="0"/>
    <n v="693.72799999999995"/>
    <n v="30.7"/>
    <n v="724.428"/>
    <n v="156.9559999999999"/>
    <n v="156.9559999999999"/>
    <n v="0.15837504036164021"/>
    <n v="0"/>
    <n v="0"/>
    <s v="Profitable"/>
  </r>
  <r>
    <s v="ORD10010"/>
    <d v="2026-01-28T11:12:00"/>
    <s v="Dev Pillai"/>
    <x v="7"/>
    <s v="Mobile App"/>
    <x v="0"/>
    <n v="4"/>
    <n v="342.66"/>
    <n v="0.05"/>
    <n v="39"/>
    <n v="364.52699999999999"/>
    <x v="3"/>
    <s v="Ramesh Yadav"/>
    <x v="0"/>
    <n v="88"/>
    <n v="3"/>
    <x v="0"/>
    <n v="267.27480000000003"/>
    <n v="51.4"/>
    <n v="318.6748"/>
    <n v="45.852199999999982"/>
    <n v="45.852199999999982"/>
    <n v="0.1338125255355162"/>
    <n v="0"/>
    <n v="0"/>
    <s v="Profitable"/>
  </r>
  <r>
    <s v="ORD10148"/>
    <d v="2026-01-29T08:51:00"/>
    <s v="Yash Malhotra"/>
    <x v="0"/>
    <s v="Mobile App"/>
    <x v="1"/>
    <n v="1"/>
    <n v="292.52999999999997"/>
    <n v="0"/>
    <n v="29"/>
    <n v="321.52999999999997"/>
    <x v="3"/>
    <s v="Ramesh Yadav"/>
    <x v="0"/>
    <n v="24"/>
    <n v="3"/>
    <x v="0"/>
    <n v="131.63849999999999"/>
    <n v="32.200000000000003"/>
    <n v="163.83850000000001"/>
    <n v="157.69149999999996"/>
    <n v="157.69149999999996"/>
    <n v="0.53906095101357121"/>
    <n v="0"/>
    <n v="0"/>
    <s v="Profitable"/>
  </r>
  <r>
    <s v="ORD10220"/>
    <d v="2026-01-29T21:33:00"/>
    <s v="Rohan Gupta"/>
    <x v="6"/>
    <s v="Website"/>
    <x v="2"/>
    <n v="3"/>
    <n v="1080.44"/>
    <n v="0.15"/>
    <n v="0"/>
    <n v="918.37400000000002"/>
    <x v="2"/>
    <s v="Kunal Mehta"/>
    <x v="0"/>
    <n v="61"/>
    <n v="4"/>
    <x v="0"/>
    <n v="756.30799999999999"/>
    <n v="43.3"/>
    <n v="799.60799999999995"/>
    <n v="118.76600000000008"/>
    <n v="118.76600000000008"/>
    <n v="0.10992373477472148"/>
    <n v="0"/>
    <n v="0"/>
    <s v="Profitable"/>
  </r>
  <r>
    <s v="ORD10179"/>
    <d v="2026-01-30T12:42:00"/>
    <s v="Varun Singh"/>
    <x v="5"/>
    <s v="Mobile App"/>
    <x v="2"/>
    <n v="6"/>
    <n v="525.03"/>
    <n v="0.05"/>
    <n v="59"/>
    <n v="557.77849999999989"/>
    <x v="3"/>
    <s v="Farhan Ali"/>
    <x v="0"/>
    <n v="76"/>
    <n v="5"/>
    <x v="0"/>
    <n v="367.52099999999996"/>
    <n v="47.8"/>
    <n v="415.32099999999997"/>
    <n v="142.45749999999992"/>
    <n v="142.45749999999992"/>
    <n v="0.27133211435537002"/>
    <n v="0"/>
    <n v="0"/>
    <s v="Profitable"/>
  </r>
  <r>
    <s v="ORD10050"/>
    <d v="2026-01-30T16:14:00"/>
    <s v="Nikhil Kapoor"/>
    <x v="1"/>
    <s v="Website"/>
    <x v="1"/>
    <n v="2"/>
    <n v="157.13"/>
    <n v="0"/>
    <n v="49"/>
    <n v="206.13"/>
    <x v="0"/>
    <s v="Jyoti Panda"/>
    <x v="0"/>
    <n v="77"/>
    <n v="5"/>
    <x v="0"/>
    <n v="70.708500000000001"/>
    <n v="48.099999999999994"/>
    <n v="118.8085"/>
    <n v="87.3215"/>
    <n v="87.3215"/>
    <n v="0.55572774136065684"/>
    <n v="0"/>
    <n v="0"/>
    <s v="Profitable"/>
  </r>
  <r>
    <s v="ORD10017"/>
    <d v="2026-01-30T22:06:00"/>
    <s v="Arjun Verma"/>
    <x v="5"/>
    <s v="Mobile App"/>
    <x v="1"/>
    <n v="3"/>
    <n v="583.86"/>
    <n v="0.15"/>
    <n v="49"/>
    <n v="545.28099999999995"/>
    <x v="1"/>
    <s v="Pankaj Dey"/>
    <x v="0"/>
    <n v="51"/>
    <n v="5"/>
    <x v="0"/>
    <n v="262.73700000000002"/>
    <n v="40.299999999999997"/>
    <n v="303.03700000000003"/>
    <n v="242.24399999999991"/>
    <n v="242.24399999999991"/>
    <n v="0.41490083239132652"/>
    <n v="0"/>
    <n v="0"/>
    <s v="Profitable"/>
  </r>
  <r>
    <s v="ORD10210"/>
    <d v="2026-01-31T09:10:00"/>
    <s v="Nikhil Iyer"/>
    <x v="4"/>
    <s v="Mobile App"/>
    <x v="2"/>
    <n v="6"/>
    <n v="1069.57"/>
    <n v="0"/>
    <n v="0"/>
    <n v="1069.57"/>
    <x v="1"/>
    <s v="Anita Behera"/>
    <x v="0"/>
    <n v="59"/>
    <n v="3"/>
    <x v="0"/>
    <n v="748.69899999999996"/>
    <n v="42.7"/>
    <n v="791.399"/>
    <n v="278.17099999999994"/>
    <n v="278.17099999999994"/>
    <n v="0.26007741428798486"/>
    <n v="0"/>
    <n v="0"/>
    <s v="Profitable"/>
  </r>
  <r>
    <s v="ORD10204"/>
    <d v="2026-01-31T16:43:00"/>
    <s v="Aryan Singh"/>
    <x v="4"/>
    <s v="Mobile App"/>
    <x v="5"/>
    <n v="5"/>
    <n v="5892.2"/>
    <n v="0.05"/>
    <n v="0"/>
    <n v="0"/>
    <x v="3"/>
    <s v="Jyoti Panda"/>
    <x v="1"/>
    <m/>
    <m/>
    <x v="0"/>
    <n v="0"/>
    <n v="15"/>
    <n v="15"/>
    <n v="-15"/>
    <n v="0"/>
    <n v="0"/>
    <n v="15"/>
    <n v="2.5457384338617157E-3"/>
    <s v="Order Cancelled"/>
  </r>
  <r>
    <s v="ORD10126"/>
    <d v="2026-02-02T09:25:00"/>
    <s v="Vivaan Verma"/>
    <x v="7"/>
    <s v="Website"/>
    <x v="4"/>
    <n v="5"/>
    <n v="14133.07"/>
    <n v="0.2"/>
    <n v="0"/>
    <n v="11306.456"/>
    <x v="1"/>
    <s v="Rekha Sethi"/>
    <x v="0"/>
    <n v="83"/>
    <n v="4"/>
    <x v="1"/>
    <n v="12437.1016"/>
    <n v="49.9"/>
    <n v="12487.0016"/>
    <n v="-1180.5455999999995"/>
    <n v="0"/>
    <n v="0"/>
    <n v="1180.5455999999995"/>
    <n v="8.353072616211478E-2"/>
    <s v="High Discount"/>
  </r>
  <r>
    <s v="ORD10212"/>
    <d v="2026-02-03T11:52:00"/>
    <s v="Kritika Nair"/>
    <x v="5"/>
    <s v="Website"/>
    <x v="3"/>
    <n v="6"/>
    <n v="610.95000000000005"/>
    <n v="0.1"/>
    <n v="49"/>
    <n v="598.85500000000002"/>
    <x v="3"/>
    <s v="Omkar Naik"/>
    <x v="0"/>
    <n v="26"/>
    <n v="3"/>
    <x v="1"/>
    <n v="336.02250000000004"/>
    <n v="32.799999999999997"/>
    <n v="368.82250000000005"/>
    <n v="230.03249999999997"/>
    <n v="230.03249999999997"/>
    <n v="0.37651608151239863"/>
    <n v="0"/>
    <n v="0"/>
    <s v="Profitable"/>
  </r>
  <r>
    <s v="ORD10122"/>
    <d v="2026-02-03T20:23:00"/>
    <s v="Yash Ghosh"/>
    <x v="6"/>
    <s v="Mobile App"/>
    <x v="3"/>
    <n v="2"/>
    <n v="2025.95"/>
    <n v="0"/>
    <n v="0"/>
    <n v="2025.95"/>
    <x v="2"/>
    <s v="Jyoti Panda"/>
    <x v="0"/>
    <n v="30"/>
    <n v="3"/>
    <x v="1"/>
    <n v="1114.2725"/>
    <n v="34"/>
    <n v="1148.2725"/>
    <n v="877.67750000000001"/>
    <n v="877.67750000000001"/>
    <n v="0.43321774969767268"/>
    <n v="0"/>
    <n v="0"/>
    <s v="Profitable"/>
  </r>
  <r>
    <s v="ORD10186"/>
    <d v="2026-02-04T20:50:00"/>
    <s v="Ananya Nair"/>
    <x v="1"/>
    <s v="Mobile App"/>
    <x v="3"/>
    <n v="3"/>
    <n v="3508.08"/>
    <n v="0"/>
    <n v="0"/>
    <n v="3508.08"/>
    <x v="1"/>
    <s v="Manoj Tiwari"/>
    <x v="0"/>
    <n v="59"/>
    <n v="3"/>
    <x v="1"/>
    <n v="1929.4440000000002"/>
    <n v="42.7"/>
    <n v="1972.1440000000002"/>
    <n v="1535.9359999999997"/>
    <n v="1535.9359999999997"/>
    <n v="0.43782809970126102"/>
    <n v="0"/>
    <n v="0"/>
    <s v="Profitable"/>
  </r>
  <r>
    <s v="ORD10138"/>
    <d v="2026-02-04T21:32:00"/>
    <s v="Kritika Singh"/>
    <x v="0"/>
    <s v="Mobile App"/>
    <x v="3"/>
    <n v="1"/>
    <n v="1523.53"/>
    <n v="0.15"/>
    <n v="0"/>
    <n v="1295.0004999999999"/>
    <x v="2"/>
    <s v="Kunal Mehta"/>
    <x v="0"/>
    <n v="41"/>
    <n v="3"/>
    <x v="1"/>
    <n v="837.94150000000002"/>
    <n v="37.299999999999997"/>
    <n v="875.24149999999997"/>
    <n v="419.7589999999999"/>
    <n v="419.7589999999999"/>
    <n v="0.27551738397012193"/>
    <n v="0"/>
    <n v="0"/>
    <s v="Profitable"/>
  </r>
  <r>
    <s v="ORD10195"/>
    <d v="2026-02-05T11:17:00"/>
    <s v="Riya Joshi"/>
    <x v="0"/>
    <s v="Mobile App"/>
    <x v="1"/>
    <n v="5"/>
    <n v="580.01"/>
    <n v="0.1"/>
    <n v="49"/>
    <n v="571.00900000000001"/>
    <x v="3"/>
    <s v="Rekha Sethi"/>
    <x v="0"/>
    <n v="56"/>
    <n v="3"/>
    <x v="1"/>
    <n v="261.00450000000001"/>
    <n v="41.8"/>
    <n v="302.80450000000002"/>
    <n v="268.2045"/>
    <n v="268.2045"/>
    <n v="0.46241357907622282"/>
    <n v="0"/>
    <n v="0"/>
    <s v="Profitable"/>
  </r>
  <r>
    <s v="ORD10215"/>
    <d v="2026-02-05T14:12:00"/>
    <s v="Kritika Menon"/>
    <x v="4"/>
    <s v="Website"/>
    <x v="1"/>
    <n v="2"/>
    <n v="604.6"/>
    <n v="0.2"/>
    <n v="29"/>
    <n v="512.68000000000006"/>
    <x v="2"/>
    <s v="Sunil Barik"/>
    <x v="0"/>
    <n v="63"/>
    <n v="4"/>
    <x v="1"/>
    <n v="272.07"/>
    <n v="43.9"/>
    <n v="315.96999999999997"/>
    <n v="196.71000000000009"/>
    <n v="196.71000000000009"/>
    <n v="0.32535560701290123"/>
    <n v="0"/>
    <n v="0"/>
    <s v="Profitable"/>
  </r>
  <r>
    <s v="ORD10127"/>
    <d v="2026-02-05T19:21:00"/>
    <s v="Meera Kapoor"/>
    <x v="1"/>
    <s v="Mobile App"/>
    <x v="2"/>
    <n v="2"/>
    <n v="940.89"/>
    <n v="0.1"/>
    <n v="39"/>
    <n v="0"/>
    <x v="0"/>
    <s v="Kunal Mehta"/>
    <x v="1"/>
    <m/>
    <m/>
    <x v="1"/>
    <n v="0"/>
    <n v="15"/>
    <n v="15"/>
    <n v="-15"/>
    <n v="0"/>
    <n v="0"/>
    <n v="15"/>
    <n v="1.5942352453528041E-2"/>
    <s v="Order Cancelled"/>
  </r>
  <r>
    <s v="ORD10086"/>
    <d v="2026-02-05T20:16:00"/>
    <s v="Varun Bose"/>
    <x v="5"/>
    <s v="Mobile App"/>
    <x v="4"/>
    <n v="4"/>
    <n v="11407.6"/>
    <n v="0"/>
    <n v="0"/>
    <n v="11407.6"/>
    <x v="1"/>
    <s v="Sunil Barik"/>
    <x v="0"/>
    <n v="47"/>
    <n v="5"/>
    <x v="1"/>
    <n v="10038.688"/>
    <n v="39.1"/>
    <n v="10077.788"/>
    <n v="1329.8119999999999"/>
    <n v="1329.8119999999999"/>
    <n v="0.11657246046495318"/>
    <n v="0"/>
    <n v="0"/>
    <s v="Profitable"/>
  </r>
  <r>
    <s v="ORD10158"/>
    <d v="2026-02-05T21:40:00"/>
    <s v="Aarav Sharma"/>
    <x v="6"/>
    <s v="Website"/>
    <x v="0"/>
    <n v="1"/>
    <n v="379.66"/>
    <n v="0.05"/>
    <n v="49"/>
    <n v="409.67700000000002"/>
    <x v="3"/>
    <s v="Pankaj Dey"/>
    <x v="0"/>
    <n v="79"/>
    <n v="5"/>
    <x v="1"/>
    <n v="296.13480000000004"/>
    <n v="48.7"/>
    <n v="344.83480000000003"/>
    <n v="64.842199999999991"/>
    <n v="64.842199999999991"/>
    <n v="0.17079018068798396"/>
    <n v="0"/>
    <n v="0"/>
    <s v="Profitable"/>
  </r>
  <r>
    <s v="ORD10083"/>
    <d v="2026-02-06T19:40:00"/>
    <s v="Aryan Agarwal"/>
    <x v="5"/>
    <s v="Mobile App"/>
    <x v="5"/>
    <n v="5"/>
    <n v="1447.77"/>
    <n v="0.05"/>
    <n v="0"/>
    <n v="1375.3815"/>
    <x v="2"/>
    <s v="Kunal Mehta"/>
    <x v="0"/>
    <n v="65"/>
    <n v="4"/>
    <x v="1"/>
    <n v="941.05050000000006"/>
    <n v="44.5"/>
    <n v="985.55050000000006"/>
    <n v="389.8309999999999"/>
    <n v="389.8309999999999"/>
    <n v="0.26926307355450102"/>
    <n v="0"/>
    <n v="0"/>
    <s v="Profitable"/>
  </r>
  <r>
    <s v="ORD10058"/>
    <d v="2026-02-08T15:34:00"/>
    <s v="Sneha Chatterjee"/>
    <x v="7"/>
    <s v="Mobile App"/>
    <x v="3"/>
    <n v="5"/>
    <n v="1695.68"/>
    <n v="0"/>
    <n v="0"/>
    <n v="0"/>
    <x v="1"/>
    <s v="Manoj Tiwari"/>
    <x v="2"/>
    <n v="48"/>
    <n v="3"/>
    <x v="1"/>
    <n v="932.62400000000014"/>
    <n v="59.4"/>
    <n v="992.02400000000011"/>
    <n v="-992.02400000000011"/>
    <n v="0"/>
    <n v="0"/>
    <n v="992.02400000000011"/>
    <n v="0.58503019437629744"/>
    <s v="Order Returned"/>
  </r>
  <r>
    <s v="ORD10047"/>
    <d v="2026-02-08T20:36:00"/>
    <s v="Priya Agarwal"/>
    <x v="6"/>
    <s v="Mobile App"/>
    <x v="5"/>
    <n v="2"/>
    <n v="887.02"/>
    <n v="0.2"/>
    <n v="59"/>
    <n v="768.61599999999999"/>
    <x v="1"/>
    <s v="Omkar Naik"/>
    <x v="0"/>
    <n v="66"/>
    <n v="4"/>
    <x v="1"/>
    <n v="576.56299999999999"/>
    <n v="44.8"/>
    <n v="621.36299999999994"/>
    <n v="147.25300000000004"/>
    <n v="147.25300000000004"/>
    <n v="0.1660086582038737"/>
    <n v="0"/>
    <n v="0"/>
    <s v="Profitable"/>
  </r>
  <r>
    <s v="ORD10005"/>
    <d v="2026-02-09T13:48:00"/>
    <s v="Sneha Verma"/>
    <x v="0"/>
    <s v="Website"/>
    <x v="0"/>
    <n v="5"/>
    <n v="1114.42"/>
    <n v="0.1"/>
    <n v="0"/>
    <n v="1002.9780000000001"/>
    <x v="0"/>
    <s v="Jyoti Panda"/>
    <x v="0"/>
    <n v="32"/>
    <n v="4"/>
    <x v="1"/>
    <n v="869.24760000000003"/>
    <n v="34.6"/>
    <n v="903.84760000000006"/>
    <n v="99.130400000000009"/>
    <n v="99.130400000000009"/>
    <n v="8.8952459575384502E-2"/>
    <n v="0"/>
    <n v="0"/>
    <s v="Profitable"/>
  </r>
  <r>
    <s v="ORD10003"/>
    <d v="2026-02-09T18:10:00"/>
    <s v="Tanya Pillai"/>
    <x v="1"/>
    <s v="Mobile App"/>
    <x v="1"/>
    <n v="1"/>
    <n v="407.81"/>
    <n v="0.1"/>
    <n v="59"/>
    <n v="59"/>
    <x v="0"/>
    <s v="Bikash Mallick"/>
    <x v="2"/>
    <n v="19"/>
    <n v="3"/>
    <x v="1"/>
    <n v="183.5145"/>
    <n v="50.7"/>
    <n v="234.21449999999999"/>
    <n v="-175.21449999999999"/>
    <n v="0"/>
    <n v="0"/>
    <n v="175.21449999999999"/>
    <n v="0.42964738481155434"/>
    <s v="Order Returned"/>
  </r>
  <r>
    <s v="ORD10081"/>
    <d v="2026-02-09T18:30:00"/>
    <s v="Tanya Pillai"/>
    <x v="7"/>
    <s v="Mobile App"/>
    <x v="0"/>
    <n v="5"/>
    <n v="535.94000000000005"/>
    <n v="0.2"/>
    <n v="49"/>
    <n v="477.75200000000007"/>
    <x v="1"/>
    <s v="Usha Rani"/>
    <x v="0"/>
    <n v="89"/>
    <n v="5"/>
    <x v="1"/>
    <n v="418.03320000000008"/>
    <n v="51.7"/>
    <n v="469.73320000000007"/>
    <n v="8.0187999999999988"/>
    <n v="8.0187999999999988"/>
    <n v="1.4962122625667049E-2"/>
    <n v="0"/>
    <n v="0"/>
    <s v="Profitable"/>
  </r>
  <r>
    <s v="ORD10049"/>
    <d v="2026-02-10T08:26:00"/>
    <s v="Tanya Das"/>
    <x v="6"/>
    <s v="Mobile App"/>
    <x v="3"/>
    <n v="3"/>
    <n v="420.77"/>
    <n v="0"/>
    <n v="49"/>
    <n v="469.77"/>
    <x v="2"/>
    <s v="Tarun Chauhan"/>
    <x v="0"/>
    <n v="47"/>
    <n v="4"/>
    <x v="1"/>
    <n v="231.42350000000002"/>
    <n v="39.1"/>
    <n v="270.52350000000001"/>
    <n v="199.24649999999997"/>
    <n v="199.24649999999997"/>
    <n v="0.47352829336692248"/>
    <n v="0"/>
    <n v="0"/>
    <s v="Profitable"/>
  </r>
  <r>
    <s v="ORD10217"/>
    <d v="2026-02-10T09:15:00"/>
    <s v="Meera Iyer"/>
    <x v="4"/>
    <s v="Mobile App"/>
    <x v="1"/>
    <n v="6"/>
    <n v="144.72999999999999"/>
    <n v="0"/>
    <n v="59"/>
    <n v="0"/>
    <x v="0"/>
    <s v="Farhan Ali"/>
    <x v="1"/>
    <m/>
    <m/>
    <x v="1"/>
    <n v="0"/>
    <n v="15"/>
    <n v="15"/>
    <n v="-15"/>
    <n v="0"/>
    <n v="0"/>
    <n v="15"/>
    <n v="0.10364126304152561"/>
    <s v="Order Cancelled"/>
  </r>
  <r>
    <s v="ORD10030"/>
    <d v="2026-02-10T19:55:00"/>
    <s v="Nikhil Singh"/>
    <x v="0"/>
    <s v="Mobile App"/>
    <x v="3"/>
    <n v="2"/>
    <n v="3407.49"/>
    <n v="0"/>
    <n v="0"/>
    <n v="3407.49"/>
    <x v="2"/>
    <s v="Anita Behera"/>
    <x v="0"/>
    <n v="53"/>
    <n v="4"/>
    <x v="1"/>
    <n v="1874.1195"/>
    <n v="40.9"/>
    <n v="1915.0195000000001"/>
    <n v="1492.4704999999997"/>
    <n v="1492.4704999999997"/>
    <n v="0.43799703007198842"/>
    <n v="0"/>
    <n v="0"/>
    <s v="Profitable"/>
  </r>
  <r>
    <s v="ORD10118"/>
    <d v="2026-02-11T13:59:00"/>
    <s v="Dev Singh"/>
    <x v="5"/>
    <s v="Mobile App"/>
    <x v="1"/>
    <n v="5"/>
    <n v="815.94"/>
    <n v="0.2"/>
    <n v="29"/>
    <n v="681.75200000000007"/>
    <x v="0"/>
    <s v="Deepak Sahu"/>
    <x v="0"/>
    <n v="88"/>
    <n v="4"/>
    <x v="1"/>
    <n v="367.17300000000006"/>
    <n v="51.4"/>
    <n v="418.57300000000004"/>
    <n v="263.17900000000003"/>
    <n v="263.17900000000003"/>
    <n v="0.32254700100497585"/>
    <n v="0"/>
    <n v="0"/>
    <s v="Profitable"/>
  </r>
  <r>
    <s v="ORD10185"/>
    <d v="2026-02-12T17:08:00"/>
    <s v="Arjun Joshi"/>
    <x v="5"/>
    <s v="Website"/>
    <x v="1"/>
    <n v="1"/>
    <n v="556.05999999999995"/>
    <n v="0.1"/>
    <n v="49"/>
    <n v="549.45399999999995"/>
    <x v="1"/>
    <s v="Tarun Chauhan"/>
    <x v="0"/>
    <n v="55"/>
    <n v="4"/>
    <x v="1"/>
    <n v="250.22699999999998"/>
    <n v="41.5"/>
    <n v="291.72699999999998"/>
    <n v="257.72699999999998"/>
    <n v="257.72699999999998"/>
    <n v="0.46348775312016688"/>
    <n v="0"/>
    <n v="0"/>
    <s v="Profitable"/>
  </r>
  <r>
    <s v="ORD10157"/>
    <d v="2026-02-13T10:46:00"/>
    <s v="Aryan Sharma"/>
    <x v="6"/>
    <s v="Mobile App"/>
    <x v="3"/>
    <n v="5"/>
    <n v="3964.2"/>
    <n v="0"/>
    <n v="0"/>
    <n v="3964.2"/>
    <x v="3"/>
    <s v="Ramesh Yadav"/>
    <x v="0"/>
    <n v="27"/>
    <n v="5"/>
    <x v="1"/>
    <n v="2180.31"/>
    <n v="33.1"/>
    <n v="2213.41"/>
    <n v="1750.79"/>
    <n v="1750.79"/>
    <n v="0.44165026991574596"/>
    <n v="0"/>
    <n v="0"/>
    <s v="Profitable"/>
  </r>
  <r>
    <s v="ORD10088"/>
    <d v="2026-02-13T20:39:00"/>
    <s v="Yash Singh"/>
    <x v="4"/>
    <s v="Website"/>
    <x v="3"/>
    <n v="3"/>
    <n v="626.08000000000004"/>
    <n v="0.2"/>
    <n v="29"/>
    <n v="529.86400000000003"/>
    <x v="1"/>
    <s v="Anita Behera"/>
    <x v="0"/>
    <n v="69"/>
    <n v="5"/>
    <x v="1"/>
    <n v="344.34400000000005"/>
    <n v="45.7"/>
    <n v="390.04400000000004"/>
    <n v="139.82"/>
    <n v="139.82"/>
    <n v="0.223326092512139"/>
    <n v="0"/>
    <n v="0"/>
    <s v="Profitable"/>
  </r>
  <r>
    <s v="ORD10090"/>
    <d v="2026-02-14T17:09:00"/>
    <s v="Dev Ghosh"/>
    <x v="4"/>
    <s v="Mobile App"/>
    <x v="1"/>
    <n v="2"/>
    <n v="861.03"/>
    <n v="0.15"/>
    <n v="59"/>
    <n v="790.87549999999999"/>
    <x v="2"/>
    <s v="Tarun Chauhan"/>
    <x v="0"/>
    <n v="92"/>
    <n v="4"/>
    <x v="1"/>
    <n v="387.46350000000001"/>
    <n v="52.599999999999994"/>
    <n v="440.06349999999998"/>
    <n v="350.81200000000001"/>
    <n v="350.81200000000001"/>
    <n v="0.40743295820122416"/>
    <n v="0"/>
    <n v="0"/>
    <s v="Profitable"/>
  </r>
  <r>
    <s v="ORD10139"/>
    <d v="2026-02-14T17:54:00"/>
    <s v="Tara Iyer"/>
    <x v="7"/>
    <s v="Mobile App"/>
    <x v="1"/>
    <n v="4"/>
    <n v="512.22"/>
    <n v="0"/>
    <n v="59"/>
    <n v="571.22"/>
    <x v="3"/>
    <s v="Kunal Mehta"/>
    <x v="0"/>
    <n v="35"/>
    <n v="4"/>
    <x v="1"/>
    <n v="230.49900000000002"/>
    <n v="35.5"/>
    <n v="265.99900000000002"/>
    <n v="305.221"/>
    <n v="305.221"/>
    <n v="0.59587872398578734"/>
    <n v="0"/>
    <n v="0"/>
    <s v="Profitable"/>
  </r>
  <r>
    <s v="ORD10097"/>
    <d v="2026-02-16T11:21:00"/>
    <s v="Varun Joshi"/>
    <x v="7"/>
    <s v="Mobile App"/>
    <x v="5"/>
    <n v="2"/>
    <n v="5999.86"/>
    <n v="0"/>
    <n v="0"/>
    <n v="5999.86"/>
    <x v="3"/>
    <s v="Sunil Barik"/>
    <x v="0"/>
    <n v="30"/>
    <n v="5"/>
    <x v="1"/>
    <n v="3899.9090000000001"/>
    <n v="34"/>
    <n v="3933.9090000000001"/>
    <n v="2065.9509999999996"/>
    <n v="2065.9509999999996"/>
    <n v="0.34433320110802579"/>
    <n v="0"/>
    <n v="0"/>
    <s v="Profitable"/>
  </r>
  <r>
    <s v="ORD10214"/>
    <d v="2026-02-17T12:17:00"/>
    <s v="Aditi Mishra"/>
    <x v="6"/>
    <s v="Mobile App"/>
    <x v="3"/>
    <n v="5"/>
    <n v="2590.9499999999998"/>
    <n v="0"/>
    <n v="0"/>
    <n v="2590.9499999999998"/>
    <x v="0"/>
    <s v="Ramesh Yadav"/>
    <x v="0"/>
    <n v="88"/>
    <n v="4"/>
    <x v="1"/>
    <n v="1425.0225"/>
    <n v="51.4"/>
    <n v="1476.4225000000001"/>
    <n v="1114.5274999999997"/>
    <n v="1114.5274999999997"/>
    <n v="0.43016171674482323"/>
    <n v="0"/>
    <n v="0"/>
    <s v="Profitable"/>
  </r>
  <r>
    <s v="ORD10105"/>
    <d v="2026-02-17T18:42:00"/>
    <s v="Neha Mishra"/>
    <x v="7"/>
    <s v="Website"/>
    <x v="0"/>
    <n v="1"/>
    <n v="1151.07"/>
    <n v="0.1"/>
    <n v="0"/>
    <n v="1035.963"/>
    <x v="3"/>
    <s v="Manoj Tiwari"/>
    <x v="0"/>
    <n v="78"/>
    <n v="3"/>
    <x v="1"/>
    <n v="897.83460000000002"/>
    <n v="48.4"/>
    <n v="946.2346"/>
    <n v="89.728399999999965"/>
    <n v="89.728399999999965"/>
    <n v="7.7952166245319546E-2"/>
    <n v="0"/>
    <n v="0"/>
    <s v="Profitable"/>
  </r>
  <r>
    <s v="ORD10130"/>
    <d v="2026-02-18T08:28:00"/>
    <s v="Nikhil Nair"/>
    <x v="0"/>
    <s v="Mobile App"/>
    <x v="4"/>
    <n v="6"/>
    <n v="3695.26"/>
    <n v="0.1"/>
    <n v="0"/>
    <n v="0"/>
    <x v="2"/>
    <s v="Ramesh Yadav"/>
    <x v="1"/>
    <m/>
    <m/>
    <x v="1"/>
    <n v="0"/>
    <n v="15"/>
    <n v="15"/>
    <n v="-15"/>
    <n v="0"/>
    <n v="0"/>
    <n v="15"/>
    <n v="4.0592542879256122E-3"/>
    <s v="Order Cancelled"/>
  </r>
  <r>
    <s v="ORD10057"/>
    <d v="2026-02-18T22:38:00"/>
    <s v="Priya Singh"/>
    <x v="2"/>
    <s v="Website"/>
    <x v="3"/>
    <n v="1"/>
    <n v="1322.12"/>
    <n v="0.2"/>
    <n v="0"/>
    <n v="1057.6959999999999"/>
    <x v="2"/>
    <s v="Suresh Kumar"/>
    <x v="0"/>
    <n v="82"/>
    <n v="4"/>
    <x v="1"/>
    <n v="727.16600000000005"/>
    <n v="49.599999999999994"/>
    <n v="776.76600000000008"/>
    <n v="280.92999999999984"/>
    <n v="280.92999999999984"/>
    <n v="0.21248449459958238"/>
    <n v="0"/>
    <n v="0"/>
    <s v="Profitable"/>
  </r>
  <r>
    <s v="ORD10044"/>
    <d v="2026-02-19T13:07:00"/>
    <s v="Isha Das"/>
    <x v="1"/>
    <s v="Website"/>
    <x v="1"/>
    <n v="6"/>
    <n v="248.12"/>
    <n v="0"/>
    <n v="59"/>
    <n v="307.12"/>
    <x v="0"/>
    <s v="Jyoti Panda"/>
    <x v="0"/>
    <n v="85"/>
    <n v="5"/>
    <x v="1"/>
    <n v="111.65400000000001"/>
    <n v="50.5"/>
    <n v="162.154"/>
    <n v="144.96600000000001"/>
    <n v="144.96600000000001"/>
    <n v="0.58425761728196035"/>
    <n v="0"/>
    <n v="0"/>
    <s v="Profitable"/>
  </r>
  <r>
    <s v="ORD10209"/>
    <d v="2026-02-21T10:49:00"/>
    <s v="Priya Malhotra"/>
    <x v="1"/>
    <s v="Mobile App"/>
    <x v="1"/>
    <n v="1"/>
    <n v="231.5"/>
    <n v="0.05"/>
    <n v="49"/>
    <n v="268.92499999999995"/>
    <x v="2"/>
    <s v="Omkar Naik"/>
    <x v="0"/>
    <n v="63"/>
    <n v="3"/>
    <x v="1"/>
    <n v="104.175"/>
    <n v="43.9"/>
    <n v="148.07499999999999"/>
    <n v="120.84999999999997"/>
    <n v="120.84999999999997"/>
    <n v="0.52203023758099343"/>
    <n v="0"/>
    <n v="0"/>
    <s v="Profitable"/>
  </r>
  <r>
    <s v="ORD10036"/>
    <d v="2026-02-21T21:01:00"/>
    <s v="Riya Reddy"/>
    <x v="3"/>
    <s v="Mobile App"/>
    <x v="1"/>
    <n v="4"/>
    <n v="635.57000000000005"/>
    <n v="0.1"/>
    <n v="39"/>
    <n v="611.01300000000003"/>
    <x v="2"/>
    <s v="Usha Rani"/>
    <x v="0"/>
    <n v="65"/>
    <n v="3"/>
    <x v="1"/>
    <n v="286.00650000000002"/>
    <n v="44.5"/>
    <n v="330.50650000000002"/>
    <n v="280.50650000000002"/>
    <n v="280.50650000000002"/>
    <n v="0.44134635052000565"/>
    <n v="0"/>
    <n v="0"/>
    <s v="Profitable"/>
  </r>
  <r>
    <s v="ORD10134"/>
    <d v="2026-02-21T21:34:00"/>
    <s v="Vivaan Reddy"/>
    <x v="6"/>
    <s v="Mobile App"/>
    <x v="4"/>
    <n v="3"/>
    <n v="2749.28"/>
    <n v="0.1"/>
    <n v="0"/>
    <n v="2474.3520000000003"/>
    <x v="1"/>
    <s v="Harpreet Singh"/>
    <x v="0"/>
    <n v="85"/>
    <n v="3"/>
    <x v="1"/>
    <n v="2419.3664000000003"/>
    <n v="50.5"/>
    <n v="2469.8664000000003"/>
    <n v="4.4855999999999767"/>
    <n v="4.4855999999999767"/>
    <n v="1.6315544433451582E-3"/>
    <n v="0"/>
    <n v="0"/>
    <s v="Profitable"/>
  </r>
  <r>
    <s v="ORD10022"/>
    <d v="2026-02-21T21:58:00"/>
    <s v="Neha Joshi"/>
    <x v="6"/>
    <s v="Mobile App"/>
    <x v="3"/>
    <n v="2"/>
    <n v="1124.82"/>
    <n v="0.15"/>
    <n v="0"/>
    <n v="956.09699999999987"/>
    <x v="1"/>
    <s v="Imran Khan"/>
    <x v="0"/>
    <n v="53"/>
    <n v="3"/>
    <x v="1"/>
    <n v="618.65100000000007"/>
    <n v="40.9"/>
    <n v="659.55100000000004"/>
    <n v="296.54599999999982"/>
    <n v="296.54599999999982"/>
    <n v="0.26363862662470428"/>
    <n v="0"/>
    <n v="0"/>
    <s v="Profitable"/>
  </r>
  <r>
    <s v="ORD10032"/>
    <d v="2026-02-22T21:26:00"/>
    <s v="Shreya Chatterjee"/>
    <x v="0"/>
    <s v="Website"/>
    <x v="4"/>
    <n v="6"/>
    <n v="1077.3499999999999"/>
    <n v="0.2"/>
    <n v="0"/>
    <n v="861.88"/>
    <x v="2"/>
    <s v="Manoj Tiwari"/>
    <x v="0"/>
    <n v="63"/>
    <n v="4"/>
    <x v="1"/>
    <n v="948.06799999999987"/>
    <n v="43.9"/>
    <n v="991.96799999999985"/>
    <n v="-130.08799999999985"/>
    <n v="0"/>
    <n v="0"/>
    <n v="130.08799999999985"/>
    <n v="0.12074813199053219"/>
    <s v="High Discount"/>
  </r>
  <r>
    <s v="ORD10145"/>
    <d v="2026-02-25T17:04:00"/>
    <s v="Aryan Chatterjee"/>
    <x v="4"/>
    <s v="Mobile App"/>
    <x v="0"/>
    <n v="1"/>
    <n v="718.22"/>
    <n v="0"/>
    <n v="29"/>
    <n v="747.22"/>
    <x v="2"/>
    <s v="Deepak Sahu"/>
    <x v="0"/>
    <n v="70"/>
    <n v="3"/>
    <x v="1"/>
    <n v="560.21160000000009"/>
    <n v="46"/>
    <n v="606.21160000000009"/>
    <n v="141.00839999999994"/>
    <n v="141.00839999999994"/>
    <n v="0.19633037230932018"/>
    <n v="0"/>
    <n v="0"/>
    <s v="Profitable"/>
  </r>
  <r>
    <s v="ORD10089"/>
    <d v="2026-02-26T13:49:00"/>
    <s v="Rohan Mishra"/>
    <x v="0"/>
    <s v="Mobile App"/>
    <x v="0"/>
    <n v="1"/>
    <n v="707.14"/>
    <n v="0"/>
    <n v="49"/>
    <n v="756.14"/>
    <x v="0"/>
    <s v="Bikash Mallick"/>
    <x v="0"/>
    <n v="36"/>
    <n v="3"/>
    <x v="1"/>
    <n v="551.56920000000002"/>
    <n v="35.799999999999997"/>
    <n v="587.36919999999998"/>
    <n v="168.77080000000001"/>
    <n v="168.77080000000001"/>
    <n v="0.23866674208784683"/>
    <n v="0"/>
    <n v="0"/>
    <s v="Profitable"/>
  </r>
  <r>
    <s v="ORD10147"/>
    <d v="2026-02-27T21:00:00"/>
    <s v="Rohan Mishra"/>
    <x v="0"/>
    <s v="Website"/>
    <x v="1"/>
    <n v="4"/>
    <n v="638.79999999999995"/>
    <n v="0.1"/>
    <n v="59"/>
    <n v="633.91999999999996"/>
    <x v="2"/>
    <s v="Lalita Rout"/>
    <x v="0"/>
    <n v="49"/>
    <n v="4"/>
    <x v="1"/>
    <n v="287.45999999999998"/>
    <n v="39.700000000000003"/>
    <n v="327.15999999999997"/>
    <n v="306.76"/>
    <n v="306.76"/>
    <n v="0.48021289918597371"/>
    <n v="0"/>
    <n v="0"/>
    <s v="Profitable"/>
  </r>
  <r>
    <s v="ORD10045"/>
    <d v="2026-02-28T13:11:00"/>
    <s v="Isha Sharma"/>
    <x v="1"/>
    <s v="Website"/>
    <x v="4"/>
    <n v="2"/>
    <n v="4695.22"/>
    <n v="0"/>
    <n v="0"/>
    <n v="4695.22"/>
    <x v="0"/>
    <s v="Pankaj Dey"/>
    <x v="0"/>
    <n v="34"/>
    <n v="5"/>
    <x v="1"/>
    <n v="4131.7936"/>
    <n v="35.200000000000003"/>
    <n v="4166.9935999999998"/>
    <n v="528.22640000000047"/>
    <n v="528.22640000000047"/>
    <n v="0.11250301370329834"/>
    <n v="0"/>
    <n v="0"/>
    <s v="Profitable"/>
  </r>
  <r>
    <s v="ORD10001"/>
    <d v="2026-02-28T21:02:00"/>
    <s v="Rohan Mishra"/>
    <x v="3"/>
    <s v="Mobile App"/>
    <x v="2"/>
    <n v="1"/>
    <n v="379.6"/>
    <n v="0.1"/>
    <n v="49"/>
    <n v="390.64000000000004"/>
    <x v="1"/>
    <s v="Omkar Naik"/>
    <x v="0"/>
    <n v="68"/>
    <n v="5"/>
    <x v="1"/>
    <n v="265.72000000000003"/>
    <n v="45.4"/>
    <n v="311.12"/>
    <n v="79.520000000000039"/>
    <n v="79.520000000000039"/>
    <n v="0.20948366701791368"/>
    <n v="0"/>
    <n v="0"/>
    <s v="Profitable"/>
  </r>
  <r>
    <s v="ORD10074"/>
    <d v="2026-03-01T13:49:00"/>
    <s v="Rohan Sharma"/>
    <x v="4"/>
    <s v="Website"/>
    <x v="0"/>
    <n v="1"/>
    <n v="441.14"/>
    <n v="0"/>
    <n v="39"/>
    <n v="480.14"/>
    <x v="0"/>
    <s v="Suresh Kumar"/>
    <x v="0"/>
    <n v="32"/>
    <n v="5"/>
    <x v="2"/>
    <n v="344.08920000000001"/>
    <n v="34.6"/>
    <n v="378.68920000000003"/>
    <n v="101.45079999999996"/>
    <n v="101.45079999999996"/>
    <n v="0.22997415786371664"/>
    <n v="0"/>
    <n v="0"/>
    <s v="Profitable"/>
  </r>
  <r>
    <s v="ORD10102"/>
    <d v="2026-03-02T14:05:00"/>
    <s v="Tara Menon"/>
    <x v="3"/>
    <s v="Mobile App"/>
    <x v="4"/>
    <n v="1"/>
    <n v="12716.3"/>
    <n v="0.15"/>
    <n v="0"/>
    <n v="10808.855"/>
    <x v="0"/>
    <s v="Jyoti Panda"/>
    <x v="0"/>
    <n v="35"/>
    <n v="3"/>
    <x v="2"/>
    <n v="11190.343999999999"/>
    <n v="35.5"/>
    <n v="11225.843999999999"/>
    <n v="-416.98899999999958"/>
    <n v="0"/>
    <n v="0"/>
    <n v="416.98899999999958"/>
    <n v="3.2791692552078797E-2"/>
    <s v="High Discount"/>
  </r>
  <r>
    <s v="ORD10075"/>
    <d v="2026-03-02T17:20:00"/>
    <s v="Isha Malhotra"/>
    <x v="0"/>
    <s v="Mobile App"/>
    <x v="0"/>
    <n v="2"/>
    <n v="928.8"/>
    <n v="0.1"/>
    <n v="29"/>
    <n v="864.92"/>
    <x v="3"/>
    <s v="Tarun Chauhan"/>
    <x v="0"/>
    <n v="64"/>
    <n v="5"/>
    <x v="2"/>
    <n v="724.46399999999994"/>
    <n v="44.2"/>
    <n v="768.66399999999999"/>
    <n v="96.255999999999972"/>
    <n v="96.255999999999972"/>
    <n v="0.10363479758828593"/>
    <n v="0"/>
    <n v="0"/>
    <s v="Profitable"/>
  </r>
  <r>
    <s v="ORD10016"/>
    <d v="2026-03-04T13:18:00"/>
    <s v="Ishaan Nair"/>
    <x v="1"/>
    <s v="Website"/>
    <x v="0"/>
    <n v="6"/>
    <n v="467.64"/>
    <n v="0.2"/>
    <n v="29"/>
    <n v="0"/>
    <x v="0"/>
    <s v="Bikash Mallick"/>
    <x v="1"/>
    <m/>
    <m/>
    <x v="2"/>
    <n v="0"/>
    <n v="15"/>
    <n v="15"/>
    <n v="-15"/>
    <n v="0"/>
    <n v="0"/>
    <n v="15"/>
    <n v="3.2075955863484731E-2"/>
    <s v="Order Cancelled"/>
  </r>
  <r>
    <s v="ORD10154"/>
    <d v="2026-03-04T19:38:00"/>
    <s v="Neha Joshi"/>
    <x v="2"/>
    <s v="Mobile App"/>
    <x v="1"/>
    <n v="2"/>
    <n v="541.66"/>
    <n v="0.2"/>
    <n v="49"/>
    <n v="482.32799999999997"/>
    <x v="2"/>
    <s v="Imran Khan"/>
    <x v="0"/>
    <n v="63"/>
    <n v="4"/>
    <x v="2"/>
    <n v="243.74699999999999"/>
    <n v="43.9"/>
    <n v="287.64699999999999"/>
    <n v="194.68099999999998"/>
    <n v="194.68099999999998"/>
    <n v="0.35941550049846765"/>
    <n v="0"/>
    <n v="0"/>
    <s v="Profitable"/>
  </r>
  <r>
    <s v="ORD10009"/>
    <d v="2026-03-04T20:30:00"/>
    <s v="Vivaan Kapoor"/>
    <x v="4"/>
    <s v="Mobile App"/>
    <x v="2"/>
    <n v="1"/>
    <n v="1015.76"/>
    <n v="0"/>
    <n v="0"/>
    <n v="1015.76"/>
    <x v="2"/>
    <s v="Bikash Mallick"/>
    <x v="0"/>
    <n v="24"/>
    <n v="5"/>
    <x v="2"/>
    <n v="711.03199999999993"/>
    <n v="32.200000000000003"/>
    <n v="743.23199999999997"/>
    <n v="272.52800000000002"/>
    <n v="272.52800000000002"/>
    <n v="0.26829959833031425"/>
    <n v="0"/>
    <n v="0"/>
    <s v="Profitable"/>
  </r>
  <r>
    <s v="ORD10002"/>
    <d v="2026-03-05T19:35:00"/>
    <s v="Aditi Verma"/>
    <x v="5"/>
    <s v="Website"/>
    <x v="3"/>
    <n v="4"/>
    <n v="3621.94"/>
    <n v="0.05"/>
    <n v="0"/>
    <n v="3440.8429999999998"/>
    <x v="0"/>
    <s v="Pankaj Dey"/>
    <x v="0"/>
    <n v="35"/>
    <n v="5"/>
    <x v="2"/>
    <n v="1992.0670000000002"/>
    <n v="35.5"/>
    <n v="2027.5670000000002"/>
    <n v="1413.2759999999996"/>
    <n v="1413.2759999999996"/>
    <n v="0.39019862283748474"/>
    <n v="0"/>
    <n v="0"/>
    <s v="Profitable"/>
  </r>
  <r>
    <s v="ORD10123"/>
    <d v="2026-03-05T21:57:00"/>
    <s v="Ananya Sharma"/>
    <x v="5"/>
    <s v="Mobile App"/>
    <x v="0"/>
    <n v="5"/>
    <n v="907.18"/>
    <n v="0"/>
    <n v="39"/>
    <n v="39"/>
    <x v="2"/>
    <s v="Jyoti Panda"/>
    <x v="2"/>
    <n v="77"/>
    <n v="2"/>
    <x v="2"/>
    <n v="707.60040000000004"/>
    <n v="68.099999999999994"/>
    <n v="775.70040000000006"/>
    <n v="-736.70040000000006"/>
    <n v="0"/>
    <n v="0"/>
    <n v="736.70040000000006"/>
    <n v="0.81207742675103078"/>
    <s v="Order Returned"/>
  </r>
  <r>
    <s v="ORD10064"/>
    <d v="2026-03-07T18:00:00"/>
    <s v="Dev Chatterjee"/>
    <x v="1"/>
    <s v="Mobile App"/>
    <x v="2"/>
    <n v="3"/>
    <n v="1042.21"/>
    <n v="0"/>
    <n v="0"/>
    <n v="1042.21"/>
    <x v="3"/>
    <s v="Jyoti Panda"/>
    <x v="0"/>
    <n v="62"/>
    <n v="5"/>
    <x v="2"/>
    <n v="729.54700000000003"/>
    <n v="43.599999999999994"/>
    <n v="773.14700000000005"/>
    <n v="269.06299999999999"/>
    <n v="269.06299999999999"/>
    <n v="0.25816582070791871"/>
    <n v="0"/>
    <n v="0"/>
    <s v="Profitable"/>
  </r>
  <r>
    <s v="ORD10068"/>
    <d v="2026-03-07T22:52:00"/>
    <s v="Shreya Kapoor"/>
    <x v="4"/>
    <s v="Website"/>
    <x v="5"/>
    <n v="3"/>
    <n v="4530.04"/>
    <n v="0"/>
    <n v="0"/>
    <n v="4530.04"/>
    <x v="3"/>
    <s v="Harpreet Singh"/>
    <x v="0"/>
    <n v="27"/>
    <n v="3"/>
    <x v="2"/>
    <n v="2944.5260000000003"/>
    <n v="33.1"/>
    <n v="2977.6260000000002"/>
    <n v="1552.4139999999998"/>
    <n v="1552.4139999999998"/>
    <n v="0.34269322125190943"/>
    <n v="0"/>
    <n v="0"/>
    <s v="Profitable"/>
  </r>
  <r>
    <s v="ORD10140"/>
    <d v="2026-03-08T14:15:00"/>
    <s v="Vivaan Reddy"/>
    <x v="2"/>
    <s v="Mobile App"/>
    <x v="3"/>
    <n v="3"/>
    <n v="1417.2"/>
    <n v="0.15"/>
    <n v="0"/>
    <n v="1204.6200000000001"/>
    <x v="3"/>
    <s v="Harpreet Singh"/>
    <x v="0"/>
    <n v="64"/>
    <n v="5"/>
    <x v="2"/>
    <n v="779.46"/>
    <n v="44.2"/>
    <n v="823.66000000000008"/>
    <n v="380.96000000000004"/>
    <n v="380.96000000000004"/>
    <n v="0.26881174146203785"/>
    <n v="0"/>
    <n v="0"/>
    <s v="Profitable"/>
  </r>
  <r>
    <s v="ORD10129"/>
    <d v="2026-03-09T18:50:00"/>
    <s v="Vivaan Agarwal"/>
    <x v="5"/>
    <s v="Mobile App"/>
    <x v="5"/>
    <n v="2"/>
    <n v="4384.12"/>
    <n v="0.1"/>
    <n v="0"/>
    <n v="3945.7080000000001"/>
    <x v="2"/>
    <s v="Harpreet Singh"/>
    <x v="0"/>
    <n v="66"/>
    <n v="3"/>
    <x v="2"/>
    <n v="2849.6779999999999"/>
    <n v="44.8"/>
    <n v="2894.4780000000001"/>
    <n v="1051.23"/>
    <n v="1051.23"/>
    <n v="0.23978130160670785"/>
    <n v="0"/>
    <n v="0"/>
    <s v="Profitable"/>
  </r>
  <r>
    <s v="ORD10162"/>
    <d v="2026-03-11T08:59:00"/>
    <s v="Aryan Kapoor"/>
    <x v="5"/>
    <s v="Website"/>
    <x v="0"/>
    <n v="5"/>
    <n v="741.69"/>
    <n v="0"/>
    <n v="39"/>
    <n v="780.69"/>
    <x v="0"/>
    <s v="Deepak Sahu"/>
    <x v="0"/>
    <n v="44"/>
    <n v="5"/>
    <x v="2"/>
    <n v="578.51820000000009"/>
    <n v="38.200000000000003"/>
    <n v="616.71820000000014"/>
    <n v="163.97179999999992"/>
    <n v="163.97179999999992"/>
    <n v="0.22107861775135151"/>
    <n v="0"/>
    <n v="0"/>
    <s v="Profitable"/>
  </r>
  <r>
    <s v="ORD10031"/>
    <d v="2026-03-11T13:20:00"/>
    <s v="Rahul Chatterjee"/>
    <x v="7"/>
    <s v="Mobile App"/>
    <x v="2"/>
    <n v="2"/>
    <n v="408.39"/>
    <n v="0.15"/>
    <n v="39"/>
    <n v="386.13149999999996"/>
    <x v="1"/>
    <s v="Sunil Barik"/>
    <x v="0"/>
    <n v="70"/>
    <n v="4"/>
    <x v="2"/>
    <n v="285.87299999999999"/>
    <n v="46"/>
    <n v="331.87299999999999"/>
    <n v="54.25849999999997"/>
    <n v="54.25849999999997"/>
    <n v="0.13285952153578681"/>
    <n v="0"/>
    <n v="0"/>
    <s v="Profitable"/>
  </r>
  <r>
    <s v="ORD10072"/>
    <d v="2026-03-13T08:44:00"/>
    <s v="Arjun Das"/>
    <x v="5"/>
    <s v="Mobile App"/>
    <x v="4"/>
    <n v="2"/>
    <n v="12947.39"/>
    <n v="0"/>
    <n v="0"/>
    <n v="12947.39"/>
    <x v="0"/>
    <s v="Manoj Tiwari"/>
    <x v="0"/>
    <n v="63"/>
    <n v="3"/>
    <x v="2"/>
    <n v="11393.7032"/>
    <n v="43.9"/>
    <n v="11437.6032"/>
    <n v="1509.7867999999999"/>
    <n v="1509.7867999999999"/>
    <n v="0.11660935524457053"/>
    <n v="0"/>
    <n v="0"/>
    <s v="Profitable"/>
  </r>
  <r>
    <s v="ORD10035"/>
    <d v="2026-03-13T20:53:00"/>
    <s v="Aryan Sharma"/>
    <x v="0"/>
    <s v="Website"/>
    <x v="3"/>
    <n v="4"/>
    <n v="371.72"/>
    <n v="0.1"/>
    <n v="29"/>
    <n v="363.54800000000006"/>
    <x v="0"/>
    <s v="Ramesh Yadav"/>
    <x v="0"/>
    <n v="26"/>
    <n v="5"/>
    <x v="2"/>
    <n v="204.44600000000003"/>
    <n v="32.799999999999997"/>
    <n v="237.24600000000004"/>
    <n v="126.30200000000002"/>
    <n v="126.30200000000002"/>
    <n v="0.33977725169482409"/>
    <n v="0"/>
    <n v="0"/>
    <s v="Profitable"/>
  </r>
  <r>
    <s v="ORD10101"/>
    <d v="2026-03-14T09:48:00"/>
    <s v="Vivaan Kapoor"/>
    <x v="4"/>
    <s v="Mobile App"/>
    <x v="0"/>
    <n v="5"/>
    <n v="304.72000000000003"/>
    <n v="0.05"/>
    <n v="29"/>
    <n v="318.48400000000004"/>
    <x v="1"/>
    <s v="Nisha Pradhan"/>
    <x v="0"/>
    <n v="62"/>
    <n v="3"/>
    <x v="2"/>
    <n v="237.68160000000003"/>
    <n v="43.599999999999994"/>
    <n v="281.28160000000003"/>
    <n v="37.202400000000011"/>
    <n v="37.202400000000011"/>
    <n v="0.12208716198477293"/>
    <n v="0"/>
    <n v="0"/>
    <s v="Profitable"/>
  </r>
  <r>
    <s v="ORD10095"/>
    <d v="2026-03-14T12:46:00"/>
    <s v="Dev Kapoor"/>
    <x v="3"/>
    <s v="Website"/>
    <x v="2"/>
    <n v="5"/>
    <n v="1320.06"/>
    <n v="0"/>
    <n v="0"/>
    <n v="1320.06"/>
    <x v="3"/>
    <s v="Jyoti Panda"/>
    <x v="0"/>
    <n v="36"/>
    <n v="4"/>
    <x v="2"/>
    <n v="924.04199999999992"/>
    <n v="35.799999999999997"/>
    <n v="959.84199999999987"/>
    <n v="360.21800000000007"/>
    <n v="360.21800000000007"/>
    <n v="0.27288002060512406"/>
    <n v="0"/>
    <n v="0"/>
    <s v="Profitable"/>
  </r>
  <r>
    <s v="ORD10027"/>
    <d v="2026-03-14T16:42:00"/>
    <s v="Shreya Patel"/>
    <x v="2"/>
    <s v="Mobile App"/>
    <x v="1"/>
    <n v="2"/>
    <n v="638.24"/>
    <n v="0"/>
    <n v="39"/>
    <n v="677.24"/>
    <x v="1"/>
    <s v="Usha Rani"/>
    <x v="0"/>
    <n v="49"/>
    <n v="4"/>
    <x v="2"/>
    <n v="287.20800000000003"/>
    <n v="39.700000000000003"/>
    <n v="326.90800000000002"/>
    <n v="350.33199999999999"/>
    <n v="350.33199999999999"/>
    <n v="0.54890323389320628"/>
    <n v="0"/>
    <n v="0"/>
    <s v="Profitable"/>
  </r>
  <r>
    <s v="ORD10136"/>
    <d v="2026-03-15T18:03:00"/>
    <s v="Divya Gupta"/>
    <x v="7"/>
    <s v="Mobile App"/>
    <x v="5"/>
    <n v="5"/>
    <n v="1546.88"/>
    <n v="0.15"/>
    <n v="0"/>
    <n v="0"/>
    <x v="3"/>
    <s v="Farhan Ali"/>
    <x v="1"/>
    <m/>
    <m/>
    <x v="2"/>
    <n v="0"/>
    <n v="15"/>
    <n v="15"/>
    <n v="-15"/>
    <n v="0"/>
    <n v="0"/>
    <n v="15"/>
    <n v="9.6969383533305736E-3"/>
    <s v="Order Cancelled"/>
  </r>
  <r>
    <s v="ORD10156"/>
    <d v="2026-03-17T10:12:00"/>
    <s v="Rahul Gupta"/>
    <x v="4"/>
    <s v="Mobile App"/>
    <x v="4"/>
    <n v="2"/>
    <n v="7890.08"/>
    <n v="0.15"/>
    <n v="0"/>
    <n v="6706.5680000000002"/>
    <x v="0"/>
    <s v="Pankaj Dey"/>
    <x v="0"/>
    <n v="80"/>
    <n v="5"/>
    <x v="2"/>
    <n v="6943.2704000000003"/>
    <n v="49"/>
    <n v="6992.2704000000003"/>
    <n v="-285.70240000000013"/>
    <n v="0"/>
    <n v="0"/>
    <n v="285.70240000000013"/>
    <n v="3.6210329933283332E-2"/>
    <s v="High Discount"/>
  </r>
  <r>
    <s v="ORD10163"/>
    <d v="2026-03-18T10:36:00"/>
    <s v="Sahil Bose"/>
    <x v="7"/>
    <s v="Website"/>
    <x v="0"/>
    <n v="4"/>
    <n v="860.89"/>
    <n v="0.1"/>
    <n v="49"/>
    <n v="823.80100000000004"/>
    <x v="2"/>
    <s v="Anita Behera"/>
    <x v="0"/>
    <n v="35"/>
    <n v="5"/>
    <x v="2"/>
    <n v="671.49419999999998"/>
    <n v="35.5"/>
    <n v="706.99419999999998"/>
    <n v="116.80680000000007"/>
    <n v="116.80680000000007"/>
    <n v="0.1356814459454751"/>
    <n v="0"/>
    <n v="0"/>
    <s v="Profitable"/>
  </r>
  <r>
    <s v="ORD10170"/>
    <d v="2026-03-18T13:38:00"/>
    <s v="Karan Kapoor"/>
    <x v="1"/>
    <s v="Mobile App"/>
    <x v="5"/>
    <n v="3"/>
    <n v="1230.3"/>
    <n v="0.05"/>
    <n v="0"/>
    <n v="1168.7849999999999"/>
    <x v="0"/>
    <s v="Harpreet Singh"/>
    <x v="0"/>
    <n v="80"/>
    <n v="5"/>
    <x v="2"/>
    <n v="799.69500000000005"/>
    <n v="49"/>
    <n v="848.69500000000005"/>
    <n v="320.0899999999998"/>
    <n v="320.0899999999998"/>
    <n v="0.2601723156953587"/>
    <n v="0"/>
    <n v="0"/>
    <s v="Profitable"/>
  </r>
  <r>
    <s v="ORD10184"/>
    <d v="2026-03-18T21:02:00"/>
    <s v="Shreya Ghosh"/>
    <x v="6"/>
    <s v="Mobile App"/>
    <x v="3"/>
    <n v="1"/>
    <n v="1924.56"/>
    <n v="0"/>
    <n v="0"/>
    <n v="1924.56"/>
    <x v="1"/>
    <s v="Lalita Rout"/>
    <x v="0"/>
    <n v="93"/>
    <n v="5"/>
    <x v="2"/>
    <n v="1058.508"/>
    <n v="52.9"/>
    <n v="1111.4080000000001"/>
    <n v="813.15199999999982"/>
    <n v="813.15199999999982"/>
    <n v="0.42251319782183971"/>
    <n v="0"/>
    <n v="0"/>
    <s v="Profitable"/>
  </r>
  <r>
    <s v="ORD10115"/>
    <d v="2026-03-18T21:10:00"/>
    <s v="Aarav Bose"/>
    <x v="4"/>
    <s v="Website"/>
    <x v="1"/>
    <n v="6"/>
    <n v="239.27"/>
    <n v="0"/>
    <n v="39"/>
    <n v="39"/>
    <x v="3"/>
    <s v="Pankaj Dey"/>
    <x v="2"/>
    <n v="35"/>
    <n v="1"/>
    <x v="2"/>
    <n v="107.67150000000001"/>
    <n v="55.5"/>
    <n v="163.17150000000001"/>
    <n v="-124.17150000000001"/>
    <n v="0"/>
    <n v="0"/>
    <n v="124.17150000000001"/>
    <n v="0.51895975258076654"/>
    <s v="Order Returned"/>
  </r>
  <r>
    <s v="ORD10141"/>
    <d v="2026-03-20T10:25:00"/>
    <s v="Ananya Nair"/>
    <x v="2"/>
    <s v="Website"/>
    <x v="1"/>
    <n v="6"/>
    <n v="715.87"/>
    <n v="0.15"/>
    <n v="29"/>
    <n v="637.48950000000002"/>
    <x v="0"/>
    <s v="Deepak Sahu"/>
    <x v="0"/>
    <n v="46"/>
    <n v="3"/>
    <x v="2"/>
    <n v="322.14150000000001"/>
    <n v="38.799999999999997"/>
    <n v="360.94150000000002"/>
    <n v="276.548"/>
    <n v="276.548"/>
    <n v="0.38631036361350524"/>
    <n v="0"/>
    <n v="0"/>
    <s v="Profitable"/>
  </r>
  <r>
    <s v="ORD10048"/>
    <d v="2026-03-20T17:39:00"/>
    <s v="Meera Pillai"/>
    <x v="5"/>
    <s v="Website"/>
    <x v="0"/>
    <n v="1"/>
    <n v="1144.97"/>
    <n v="0"/>
    <n v="0"/>
    <n v="1144.97"/>
    <x v="1"/>
    <s v="Harpreet Singh"/>
    <x v="0"/>
    <n v="28"/>
    <n v="3"/>
    <x v="2"/>
    <n v="893.0766000000001"/>
    <n v="33.4"/>
    <n v="926.47660000000008"/>
    <n v="218.49339999999995"/>
    <n v="218.49339999999995"/>
    <n v="0.19082893001563356"/>
    <n v="0"/>
    <n v="0"/>
    <s v="Profitable"/>
  </r>
  <r>
    <s v="ORD10043"/>
    <d v="2026-03-20T18:37:00"/>
    <s v="Arjun Iyer"/>
    <x v="5"/>
    <s v="Mobile App"/>
    <x v="4"/>
    <n v="3"/>
    <n v="6842.15"/>
    <n v="0.15"/>
    <n v="0"/>
    <n v="5815.8274999999994"/>
    <x v="0"/>
    <s v="Jyoti Panda"/>
    <x v="0"/>
    <n v="76"/>
    <n v="4"/>
    <x v="2"/>
    <n v="6021.0919999999996"/>
    <n v="47.8"/>
    <n v="6068.8919999999998"/>
    <n v="-253.06450000000041"/>
    <n v="0"/>
    <n v="0"/>
    <n v="253.06450000000041"/>
    <n v="3.6986108167754349E-2"/>
    <s v="High Discount"/>
  </r>
  <r>
    <s v="ORD10037"/>
    <d v="2026-03-21T09:37:00"/>
    <s v="Nikhil Iyer"/>
    <x v="5"/>
    <s v="Mobile App"/>
    <x v="0"/>
    <n v="6"/>
    <n v="1103.43"/>
    <n v="0.05"/>
    <n v="0"/>
    <n v="0"/>
    <x v="2"/>
    <s v="Tarun Chauhan"/>
    <x v="2"/>
    <n v="43"/>
    <n v="1"/>
    <x v="2"/>
    <n v="860.67540000000008"/>
    <n v="57.9"/>
    <n v="918.57540000000006"/>
    <n v="-918.57540000000006"/>
    <n v="0"/>
    <n v="0"/>
    <n v="918.57540000000006"/>
    <n v="0.83247274407982386"/>
    <s v="Order Returned"/>
  </r>
  <r>
    <s v="ORD10007"/>
    <d v="2026-03-21T14:42:00"/>
    <s v="Manav Iyer"/>
    <x v="7"/>
    <s v="Mobile App"/>
    <x v="1"/>
    <n v="5"/>
    <n v="461.19"/>
    <n v="0"/>
    <n v="39"/>
    <n v="500.19"/>
    <x v="3"/>
    <s v="Harpreet Singh"/>
    <x v="0"/>
    <n v="93"/>
    <n v="5"/>
    <x v="2"/>
    <n v="207.53550000000001"/>
    <n v="52.9"/>
    <n v="260.43549999999999"/>
    <n v="239.75450000000001"/>
    <n v="239.75450000000001"/>
    <n v="0.51986057806977604"/>
    <n v="0"/>
    <n v="0"/>
    <s v="Profitable"/>
  </r>
  <r>
    <s v="ORD10200"/>
    <d v="2026-03-21T18:47:00"/>
    <s v="Kritika Mishra"/>
    <x v="3"/>
    <s v="Mobile App"/>
    <x v="1"/>
    <n v="1"/>
    <n v="666.32"/>
    <n v="0.15"/>
    <n v="29"/>
    <n v="595.37200000000007"/>
    <x v="1"/>
    <s v="Rekha Sethi"/>
    <x v="0"/>
    <n v="62"/>
    <n v="5"/>
    <x v="2"/>
    <n v="299.84400000000005"/>
    <n v="43.599999999999994"/>
    <n v="343.44400000000007"/>
    <n v="251.928"/>
    <n v="251.928"/>
    <n v="0.37808860607515904"/>
    <n v="0"/>
    <n v="0"/>
    <s v="Profitable"/>
  </r>
  <r>
    <s v="ORD10059"/>
    <d v="2026-03-23T19:30:00"/>
    <s v="Karan Reddy"/>
    <x v="2"/>
    <s v="Website"/>
    <x v="1"/>
    <n v="4"/>
    <n v="890.73"/>
    <n v="0.2"/>
    <n v="39"/>
    <n v="39"/>
    <x v="2"/>
    <s v="Tarun Chauhan"/>
    <x v="2"/>
    <n v="34"/>
    <n v="3"/>
    <x v="2"/>
    <n v="400.82850000000002"/>
    <n v="55.2"/>
    <n v="456.02850000000001"/>
    <n v="-417.02850000000001"/>
    <n v="0"/>
    <n v="0"/>
    <n v="417.02850000000001"/>
    <n v="0.468187329493786"/>
    <s v="Order Returned"/>
  </r>
  <r>
    <s v="ORD10053"/>
    <d v="2026-03-24T18:06:00"/>
    <s v="Isha Kapoor"/>
    <x v="7"/>
    <s v="Mobile App"/>
    <x v="2"/>
    <n v="6"/>
    <n v="783.57"/>
    <n v="0.15"/>
    <n v="59"/>
    <n v="725.03449999999998"/>
    <x v="3"/>
    <s v="Kunal Mehta"/>
    <x v="0"/>
    <n v="58"/>
    <n v="4"/>
    <x v="2"/>
    <n v="548.49900000000002"/>
    <n v="42.4"/>
    <n v="590.899"/>
    <n v="134.13549999999998"/>
    <n v="134.13549999999998"/>
    <n v="0.17118508876041702"/>
    <n v="0"/>
    <n v="0"/>
    <s v="Profitable"/>
  </r>
  <r>
    <s v="ORD10110"/>
    <d v="2026-03-25T18:18:00"/>
    <s v="Arjun Verma"/>
    <x v="5"/>
    <s v="Mobile App"/>
    <x v="4"/>
    <n v="4"/>
    <n v="3166.36"/>
    <n v="0.05"/>
    <n v="0"/>
    <n v="3008.0419999999999"/>
    <x v="0"/>
    <s v="Nisha Pradhan"/>
    <x v="0"/>
    <n v="63"/>
    <n v="5"/>
    <x v="2"/>
    <n v="2786.3968"/>
    <n v="43.9"/>
    <n v="2830.2968000000001"/>
    <n v="177.74519999999984"/>
    <n v="177.74519999999984"/>
    <n v="5.6135499437840242E-2"/>
    <n v="0"/>
    <n v="0"/>
    <s v="Profitable"/>
  </r>
  <r>
    <s v="ORD10213"/>
    <d v="2026-03-26T09:02:00"/>
    <s v="Meera Bose"/>
    <x v="0"/>
    <s v="Mobile App"/>
    <x v="5"/>
    <n v="5"/>
    <n v="2712.31"/>
    <n v="0.15"/>
    <n v="0"/>
    <n v="2305.4634999999998"/>
    <x v="2"/>
    <s v="Nisha Pradhan"/>
    <x v="0"/>
    <n v="66"/>
    <n v="5"/>
    <x v="2"/>
    <n v="1763.0015000000001"/>
    <n v="44.8"/>
    <n v="1807.8015"/>
    <n v="497.66199999999981"/>
    <n v="497.66199999999981"/>
    <n v="0.18348271399655638"/>
    <n v="0"/>
    <n v="0"/>
    <s v="Profitable"/>
  </r>
  <r>
    <s v="ORD10135"/>
    <d v="2026-03-26T19:30:00"/>
    <s v="Aryan Singh"/>
    <x v="4"/>
    <s v="Website"/>
    <x v="0"/>
    <n v="1"/>
    <n v="1162.74"/>
    <n v="0"/>
    <n v="0"/>
    <n v="1162.74"/>
    <x v="2"/>
    <s v="Gaurav Nanda"/>
    <x v="0"/>
    <n v="78"/>
    <n v="4"/>
    <x v="2"/>
    <n v="906.93720000000008"/>
    <n v="48.4"/>
    <n v="955.33720000000005"/>
    <n v="207.40279999999996"/>
    <n v="207.40279999999996"/>
    <n v="0.17837418511447095"/>
    <n v="0"/>
    <n v="0"/>
    <s v="Profitable"/>
  </r>
  <r>
    <s v="ORD10174"/>
    <d v="2026-03-26T20:27:00"/>
    <s v="Nikhil Joshi"/>
    <x v="3"/>
    <s v="Mobile App"/>
    <x v="0"/>
    <n v="2"/>
    <n v="686.21"/>
    <n v="0.1"/>
    <n v="39"/>
    <n v="656.58900000000006"/>
    <x v="2"/>
    <s v="Tarun Chauhan"/>
    <x v="0"/>
    <n v="77"/>
    <n v="5"/>
    <x v="2"/>
    <n v="535.24380000000008"/>
    <n v="48.099999999999994"/>
    <n v="583.3438000000001"/>
    <n v="73.245199999999954"/>
    <n v="73.245199999999954"/>
    <n v="0.10673875344282355"/>
    <n v="0"/>
    <n v="0"/>
    <s v="Profitable"/>
  </r>
  <r>
    <s v="ORD10061"/>
    <d v="2026-03-26T21:43:00"/>
    <s v="Sneha Patel"/>
    <x v="6"/>
    <s v="Mobile App"/>
    <x v="2"/>
    <n v="3"/>
    <n v="970.05"/>
    <n v="0.2"/>
    <n v="59"/>
    <n v="835.04"/>
    <x v="3"/>
    <s v="Jyoti Panda"/>
    <x v="0"/>
    <n v="48"/>
    <n v="5"/>
    <x v="2"/>
    <n v="679.03499999999997"/>
    <n v="39.4"/>
    <n v="718.43499999999995"/>
    <n v="116.60500000000002"/>
    <n v="116.60500000000002"/>
    <n v="0.12020514406473895"/>
    <n v="0"/>
    <n v="0"/>
    <s v="Profitable"/>
  </r>
  <r>
    <s v="ORD10109"/>
    <d v="2026-03-28T10:31:00"/>
    <s v="Karan Reddy"/>
    <x v="5"/>
    <s v="Mobile App"/>
    <x v="1"/>
    <n v="5"/>
    <n v="313.38"/>
    <n v="0"/>
    <n v="59"/>
    <n v="372.38"/>
    <x v="3"/>
    <s v="Jyoti Panda"/>
    <x v="0"/>
    <n v="41"/>
    <n v="5"/>
    <x v="2"/>
    <n v="141.02100000000002"/>
    <n v="37.299999999999997"/>
    <n v="178.32100000000003"/>
    <n v="194.05899999999997"/>
    <n v="194.05899999999997"/>
    <n v="0.61924500606292676"/>
    <n v="0"/>
    <n v="0"/>
    <s v="Profitable"/>
  </r>
  <r>
    <s v="ORD10175"/>
    <d v="2026-03-30T08:30:00"/>
    <s v="Ananya Bose"/>
    <x v="2"/>
    <s v="Mobile App"/>
    <x v="0"/>
    <n v="1"/>
    <n v="271.87"/>
    <n v="0.15"/>
    <n v="39"/>
    <n v="270.08949999999999"/>
    <x v="0"/>
    <s v="Rekha Sethi"/>
    <x v="0"/>
    <n v="76"/>
    <n v="3"/>
    <x v="2"/>
    <n v="212.05860000000001"/>
    <n v="47.8"/>
    <n v="259.85860000000002"/>
    <n v="10.230899999999963"/>
    <n v="10.230899999999963"/>
    <n v="3.7631588626917137E-2"/>
    <n v="0"/>
    <n v="0"/>
    <s v="Profitable"/>
  </r>
  <r>
    <s v="ORD10085"/>
    <d v="2026-03-30T14:07:00"/>
    <s v="Kabir Singh"/>
    <x v="0"/>
    <s v="Mobile App"/>
    <x v="4"/>
    <n v="4"/>
    <n v="8282.4599999999991"/>
    <n v="0"/>
    <n v="0"/>
    <n v="8282.4599999999991"/>
    <x v="3"/>
    <s v="Suresh Kumar"/>
    <x v="0"/>
    <n v="94"/>
    <n v="3"/>
    <x v="2"/>
    <n v="7288.5647999999992"/>
    <n v="53.2"/>
    <n v="7341.764799999999"/>
    <n v="940.69520000000011"/>
    <n v="940.69520000000011"/>
    <n v="0.1135767875727743"/>
    <n v="0"/>
    <n v="0"/>
    <s v="Profitable"/>
  </r>
  <r>
    <s v="ORD10160"/>
    <d v="2026-04-01T12:50:00"/>
    <s v="Aditi Kapoor"/>
    <x v="6"/>
    <s v="Mobile App"/>
    <x v="4"/>
    <n v="4"/>
    <n v="7317.77"/>
    <n v="0"/>
    <n v="0"/>
    <n v="7317.77"/>
    <x v="1"/>
    <s v="Ramesh Yadav"/>
    <x v="0"/>
    <n v="28"/>
    <n v="5"/>
    <x v="3"/>
    <n v="6439.6376"/>
    <n v="33.4"/>
    <n v="6473.0375999999997"/>
    <n v="844.73240000000078"/>
    <n v="844.73240000000078"/>
    <n v="0.11543576800036087"/>
    <n v="0"/>
    <n v="0"/>
    <s v="Profitable"/>
  </r>
  <r>
    <s v="ORD10106"/>
    <d v="2026-04-02T20:04:00"/>
    <s v="Varun Gupta"/>
    <x v="2"/>
    <s v="Website"/>
    <x v="4"/>
    <n v="6"/>
    <n v="2272.0300000000002"/>
    <n v="0.1"/>
    <n v="0"/>
    <n v="2044.8270000000002"/>
    <x v="0"/>
    <s v="Kunal Mehta"/>
    <x v="0"/>
    <n v="63"/>
    <n v="5"/>
    <x v="3"/>
    <n v="1999.3864000000001"/>
    <n v="43.9"/>
    <n v="2043.2864000000002"/>
    <n v="1.5406000000000404"/>
    <n v="1.5406000000000404"/>
    <n v="6.7807203249958857E-4"/>
    <n v="0"/>
    <n v="0"/>
    <s v="Profitable"/>
  </r>
  <r>
    <s v="ORD10166"/>
    <d v="2026-04-03T09:05:00"/>
    <s v="Sahil Chatterjee"/>
    <x v="5"/>
    <s v="Mobile App"/>
    <x v="0"/>
    <n v="3"/>
    <n v="949.41"/>
    <n v="0"/>
    <n v="39"/>
    <n v="988.41"/>
    <x v="3"/>
    <s v="Sunil Barik"/>
    <x v="0"/>
    <n v="75"/>
    <n v="5"/>
    <x v="3"/>
    <n v="740.53980000000001"/>
    <n v="47.5"/>
    <n v="788.03980000000001"/>
    <n v="200.37019999999995"/>
    <n v="200.37019999999995"/>
    <n v="0.2110470713390421"/>
    <n v="0"/>
    <n v="0"/>
    <s v="Profitable"/>
  </r>
  <r>
    <s v="ORD10112"/>
    <d v="2026-04-03T14:36:00"/>
    <s v="Neha Kapoor"/>
    <x v="4"/>
    <s v="Mobile App"/>
    <x v="0"/>
    <n v="4"/>
    <n v="1146.26"/>
    <n v="0"/>
    <n v="0"/>
    <n v="1146.26"/>
    <x v="2"/>
    <s v="Rekha Sethi"/>
    <x v="0"/>
    <n v="91"/>
    <n v="3"/>
    <x v="3"/>
    <n v="894.08280000000002"/>
    <n v="52.3"/>
    <n v="946.38279999999997"/>
    <n v="199.87720000000002"/>
    <n v="199.87720000000002"/>
    <n v="0.17437335334042889"/>
    <n v="0"/>
    <n v="0"/>
    <s v="Profitable"/>
  </r>
  <r>
    <s v="ORD10092"/>
    <d v="2026-04-05T21:18:00"/>
    <s v="Dev Das"/>
    <x v="4"/>
    <s v="Website"/>
    <x v="0"/>
    <n v="1"/>
    <n v="795.76"/>
    <n v="0.1"/>
    <n v="59"/>
    <n v="775.18399999999997"/>
    <x v="2"/>
    <s v="Tarun Chauhan"/>
    <x v="0"/>
    <n v="23"/>
    <n v="4"/>
    <x v="3"/>
    <n v="620.69280000000003"/>
    <n v="31.9"/>
    <n v="652.59280000000001"/>
    <n v="122.59119999999996"/>
    <n v="122.59119999999996"/>
    <n v="0.15405549411882974"/>
    <n v="0"/>
    <n v="0"/>
    <s v="Profitable"/>
  </r>
  <r>
    <s v="ORD10201"/>
    <d v="2026-04-06T10:47:00"/>
    <s v="Dev Patel"/>
    <x v="2"/>
    <s v="Mobile App"/>
    <x v="1"/>
    <n v="1"/>
    <n v="717.14"/>
    <n v="0"/>
    <n v="49"/>
    <n v="766.14"/>
    <x v="2"/>
    <s v="Tarun Chauhan"/>
    <x v="0"/>
    <n v="26"/>
    <n v="4"/>
    <x v="3"/>
    <n v="322.71300000000002"/>
    <n v="32.799999999999997"/>
    <n v="355.51300000000003"/>
    <n v="410.62699999999995"/>
    <n v="410.62699999999995"/>
    <n v="0.57258973143319292"/>
    <n v="0"/>
    <n v="0"/>
    <s v="Profitable"/>
  </r>
  <r>
    <s v="ORD10161"/>
    <d v="2026-04-07T16:30:00"/>
    <s v="Sneha Das"/>
    <x v="2"/>
    <s v="Mobile App"/>
    <x v="0"/>
    <n v="2"/>
    <n v="236.82"/>
    <n v="0.2"/>
    <n v="59"/>
    <n v="248.45600000000002"/>
    <x v="0"/>
    <s v="Ramesh Yadav"/>
    <x v="0"/>
    <n v="30"/>
    <n v="5"/>
    <x v="3"/>
    <n v="184.71960000000001"/>
    <n v="34"/>
    <n v="218.71960000000001"/>
    <n v="29.736400000000003"/>
    <n v="29.736400000000003"/>
    <n v="0.12556540832699942"/>
    <n v="0"/>
    <n v="0"/>
    <s v="Profitable"/>
  </r>
  <r>
    <s v="ORD10146"/>
    <d v="2026-04-08T15:55:00"/>
    <s v="Pooja Kapoor"/>
    <x v="3"/>
    <s v="Mobile App"/>
    <x v="5"/>
    <n v="1"/>
    <n v="4159.84"/>
    <n v="0.15"/>
    <n v="0"/>
    <n v="3535.864"/>
    <x v="1"/>
    <s v="Farhan Ali"/>
    <x v="0"/>
    <n v="62"/>
    <n v="3"/>
    <x v="3"/>
    <n v="2703.8960000000002"/>
    <n v="43.599999999999994"/>
    <n v="2747.4960000000001"/>
    <n v="788.36799999999994"/>
    <n v="788.36799999999994"/>
    <n v="0.18951882764721717"/>
    <n v="0"/>
    <n v="0"/>
    <s v="Profitable"/>
  </r>
  <r>
    <s v="ORD10024"/>
    <d v="2026-04-09T22:36:00"/>
    <s v="Tanya Reddy"/>
    <x v="1"/>
    <s v="Mobile App"/>
    <x v="0"/>
    <n v="4"/>
    <n v="151.78"/>
    <n v="0.2"/>
    <n v="39"/>
    <n v="160.42400000000001"/>
    <x v="0"/>
    <s v="Kunal Mehta"/>
    <x v="0"/>
    <n v="60"/>
    <n v="5"/>
    <x v="3"/>
    <n v="118.3884"/>
    <n v="43"/>
    <n v="161.38839999999999"/>
    <n v="-0.96439999999998349"/>
    <n v="0"/>
    <n v="0"/>
    <n v="0.96439999999998349"/>
    <n v="6.3539333245485798E-3"/>
    <s v="High Discount"/>
  </r>
  <r>
    <s v="ORD10197"/>
    <d v="2026-04-10T21:53:00"/>
    <s v="Vivaan Verma"/>
    <x v="6"/>
    <s v="Mobile App"/>
    <x v="3"/>
    <n v="6"/>
    <n v="939.25"/>
    <n v="0.05"/>
    <n v="29"/>
    <n v="921.28749999999991"/>
    <x v="3"/>
    <s v="Gaurav Nanda"/>
    <x v="0"/>
    <n v="19"/>
    <n v="4"/>
    <x v="3"/>
    <n v="516.58750000000009"/>
    <n v="30.7"/>
    <n v="547.28750000000014"/>
    <n v="373.99999999999977"/>
    <n v="373.99999999999977"/>
    <n v="0.39819004524886853"/>
    <n v="0"/>
    <n v="0"/>
    <s v="Profitable"/>
  </r>
  <r>
    <s v="ORD10196"/>
    <d v="2026-04-11T12:41:00"/>
    <s v="Neha Rao"/>
    <x v="3"/>
    <s v="Website"/>
    <x v="0"/>
    <n v="2"/>
    <n v="669.63"/>
    <n v="0"/>
    <n v="39"/>
    <n v="708.63"/>
    <x v="2"/>
    <s v="Suresh Kumar"/>
    <x v="0"/>
    <n v="27"/>
    <n v="5"/>
    <x v="3"/>
    <n v="522.31140000000005"/>
    <n v="33.1"/>
    <n v="555.41140000000007"/>
    <n v="153.21859999999992"/>
    <n v="153.21859999999992"/>
    <n v="0.22881083583471459"/>
    <n v="0"/>
    <n v="0"/>
    <s v="Profitable"/>
  </r>
  <r>
    <s v="ORD10171"/>
    <d v="2026-04-11T13:07:00"/>
    <s v="Rahul Singh"/>
    <x v="5"/>
    <s v="Mobile App"/>
    <x v="5"/>
    <n v="5"/>
    <n v="1243.58"/>
    <n v="0.2"/>
    <n v="0"/>
    <n v="0"/>
    <x v="3"/>
    <s v="Gaurav Nanda"/>
    <x v="2"/>
    <n v="77"/>
    <n v="3"/>
    <x v="3"/>
    <n v="808.327"/>
    <n v="68.099999999999994"/>
    <n v="876.42700000000002"/>
    <n v="-876.42700000000002"/>
    <n v="0"/>
    <n v="0"/>
    <n v="876.42700000000002"/>
    <n v="0.70476125379951438"/>
    <s v="Order Returned"/>
  </r>
  <r>
    <s v="ORD10124"/>
    <d v="2026-04-11T16:29:00"/>
    <s v="Rohan Mishra"/>
    <x v="4"/>
    <s v="Mobile App"/>
    <x v="5"/>
    <n v="3"/>
    <n v="482.22"/>
    <n v="0"/>
    <n v="59"/>
    <n v="541.22"/>
    <x v="2"/>
    <s v="Nisha Pradhan"/>
    <x v="0"/>
    <n v="19"/>
    <n v="3"/>
    <x v="3"/>
    <n v="313.44300000000004"/>
    <n v="30.7"/>
    <n v="344.14300000000003"/>
    <n v="197.077"/>
    <n v="197.077"/>
    <n v="0.40868690639127364"/>
    <n v="0"/>
    <n v="0"/>
    <s v="Profitable"/>
  </r>
  <r>
    <s v="ORD10199"/>
    <d v="2026-04-11T17:40:00"/>
    <s v="Rahul Ghosh"/>
    <x v="7"/>
    <s v="Mobile App"/>
    <x v="1"/>
    <n v="6"/>
    <n v="152.88999999999999"/>
    <n v="0.15"/>
    <n v="59"/>
    <n v="188.95649999999998"/>
    <x v="1"/>
    <s v="Bikash Mallick"/>
    <x v="0"/>
    <n v="29"/>
    <n v="4"/>
    <x v="3"/>
    <n v="68.8005"/>
    <n v="33.700000000000003"/>
    <n v="102.5005"/>
    <n v="86.455999999999975"/>
    <n v="86.455999999999975"/>
    <n v="0.56547844855778651"/>
    <n v="0"/>
    <n v="0"/>
    <s v="Profitable"/>
  </r>
  <r>
    <s v="ORD10211"/>
    <d v="2026-04-12T16:03:00"/>
    <s v="Aarav Verma"/>
    <x v="0"/>
    <s v="Mobile App"/>
    <x v="1"/>
    <n v="2"/>
    <n v="124.87"/>
    <n v="0.05"/>
    <n v="59"/>
    <n v="177.62649999999999"/>
    <x v="1"/>
    <s v="Bikash Mallick"/>
    <x v="0"/>
    <n v="31"/>
    <n v="3"/>
    <x v="3"/>
    <n v="56.191500000000005"/>
    <n v="34.299999999999997"/>
    <n v="90.491500000000002"/>
    <n v="87.134999999999991"/>
    <n v="87.134999999999991"/>
    <n v="0.69780571794666446"/>
    <n v="0"/>
    <n v="0"/>
    <s v="Profitable"/>
  </r>
  <r>
    <s v="ORD10137"/>
    <d v="2026-04-12T20:31:00"/>
    <s v="Rahul Pillai"/>
    <x v="2"/>
    <s v="Website"/>
    <x v="0"/>
    <n v="3"/>
    <n v="1070.58"/>
    <n v="0"/>
    <n v="0"/>
    <n v="1070.58"/>
    <x v="0"/>
    <s v="Jyoti Panda"/>
    <x v="0"/>
    <n v="31"/>
    <n v="4"/>
    <x v="3"/>
    <n v="835.05239999999992"/>
    <n v="34.299999999999997"/>
    <n v="869.35239999999988"/>
    <n v="201.22760000000005"/>
    <n v="201.22760000000005"/>
    <n v="0.18796129200993861"/>
    <n v="0"/>
    <n v="0"/>
    <s v="Profitable"/>
  </r>
  <r>
    <s v="ORD10133"/>
    <d v="2026-04-12T21:22:00"/>
    <s v="Simran Menon"/>
    <x v="0"/>
    <s v="Website"/>
    <x v="5"/>
    <n v="3"/>
    <n v="443.99"/>
    <n v="0.15"/>
    <n v="29"/>
    <n v="0"/>
    <x v="0"/>
    <s v="Imran Khan"/>
    <x v="1"/>
    <m/>
    <m/>
    <x v="3"/>
    <n v="0"/>
    <n v="15"/>
    <n v="15"/>
    <n v="-15"/>
    <n v="0"/>
    <n v="0"/>
    <n v="15"/>
    <n v="3.3784544696952634E-2"/>
    <s v="Order Cancelled"/>
  </r>
  <r>
    <s v="ORD10087"/>
    <d v="2026-04-12T21:47:00"/>
    <s v="Yash Sharma"/>
    <x v="4"/>
    <s v="Mobile App"/>
    <x v="0"/>
    <n v="1"/>
    <n v="1055.22"/>
    <n v="0.1"/>
    <n v="0"/>
    <n v="949.69800000000009"/>
    <x v="2"/>
    <s v="Bikash Mallick"/>
    <x v="0"/>
    <n v="71"/>
    <n v="4"/>
    <x v="3"/>
    <n v="823.0716000000001"/>
    <n v="46.3"/>
    <n v="869.37160000000006"/>
    <n v="80.326400000000035"/>
    <n v="80.326400000000035"/>
    <n v="7.6122893804135658E-2"/>
    <n v="0"/>
    <n v="0"/>
    <s v="Profitable"/>
  </r>
  <r>
    <s v="ORD10125"/>
    <d v="2026-04-14T13:02:00"/>
    <s v="Varun Ghosh"/>
    <x v="5"/>
    <s v="Mobile App"/>
    <x v="3"/>
    <n v="2"/>
    <n v="1641.34"/>
    <n v="0"/>
    <n v="0"/>
    <n v="1641.34"/>
    <x v="3"/>
    <s v="Imran Khan"/>
    <x v="0"/>
    <n v="75"/>
    <n v="5"/>
    <x v="3"/>
    <n v="902.73700000000008"/>
    <n v="47.5"/>
    <n v="950.23700000000008"/>
    <n v="691.10299999999984"/>
    <n v="691.10299999999984"/>
    <n v="0.42106023127444642"/>
    <n v="0"/>
    <n v="0"/>
    <s v="Profitable"/>
  </r>
  <r>
    <s v="ORD10026"/>
    <d v="2026-04-14T16:53:00"/>
    <s v="Kritika Gupta"/>
    <x v="5"/>
    <s v="Mobile App"/>
    <x v="0"/>
    <n v="4"/>
    <n v="975.05"/>
    <n v="0.1"/>
    <n v="49"/>
    <n v="926.54499999999996"/>
    <x v="2"/>
    <s v="Pankaj Dey"/>
    <x v="0"/>
    <n v="45"/>
    <n v="5"/>
    <x v="3"/>
    <n v="760.53899999999999"/>
    <n v="38.5"/>
    <n v="799.03899999999999"/>
    <n v="127.50599999999997"/>
    <n v="127.50599999999997"/>
    <n v="0.13076867852930615"/>
    <n v="0"/>
    <n v="0"/>
    <s v="Profitable"/>
  </r>
  <r>
    <s v="ORD10172"/>
    <d v="2026-04-15T18:31:00"/>
    <s v="Yash Pillai"/>
    <x v="6"/>
    <s v="Mobile App"/>
    <x v="0"/>
    <n v="3"/>
    <n v="841.6"/>
    <n v="0.15"/>
    <n v="59"/>
    <n v="774.36"/>
    <x v="2"/>
    <s v="Tarun Chauhan"/>
    <x v="0"/>
    <n v="94"/>
    <n v="4"/>
    <x v="3"/>
    <n v="656.44800000000009"/>
    <n v="53.2"/>
    <n v="709.64800000000014"/>
    <n v="64.711999999999875"/>
    <n v="64.711999999999875"/>
    <n v="7.6891634980988444E-2"/>
    <n v="0"/>
    <n v="0"/>
    <s v="Profitable"/>
  </r>
  <r>
    <s v="ORD10182"/>
    <d v="2026-04-15T18:31:00"/>
    <s v="Priya Gupta"/>
    <x v="2"/>
    <s v="Website"/>
    <x v="3"/>
    <n v="4"/>
    <n v="918.84"/>
    <n v="0.1"/>
    <n v="29"/>
    <n v="855.95600000000002"/>
    <x v="1"/>
    <s v="Sunil Barik"/>
    <x v="0"/>
    <n v="53"/>
    <n v="3"/>
    <x v="3"/>
    <n v="505.36200000000008"/>
    <n v="40.9"/>
    <n v="546.26200000000006"/>
    <n v="309.69399999999996"/>
    <n v="309.69399999999996"/>
    <n v="0.33704888772800484"/>
    <n v="0"/>
    <n v="0"/>
    <s v="Profitable"/>
  </r>
  <r>
    <s v="ORD10021"/>
    <d v="2026-04-16T08:11:00"/>
    <s v="Shreya Menon"/>
    <x v="0"/>
    <s v="Mobile App"/>
    <x v="1"/>
    <n v="4"/>
    <n v="741.79"/>
    <n v="0.2"/>
    <n v="39"/>
    <n v="632.43200000000002"/>
    <x v="0"/>
    <s v="Ramesh Yadav"/>
    <x v="0"/>
    <n v="31"/>
    <n v="4"/>
    <x v="3"/>
    <n v="333.80549999999999"/>
    <n v="34.299999999999997"/>
    <n v="368.10550000000001"/>
    <n v="264.32650000000001"/>
    <n v="264.32650000000001"/>
    <n v="0.35633602502055839"/>
    <n v="0"/>
    <n v="0"/>
    <s v="Profitable"/>
  </r>
  <r>
    <s v="ORD10150"/>
    <d v="2026-04-16T12:17:00"/>
    <s v="Kritika Joshi"/>
    <x v="4"/>
    <s v="Website"/>
    <x v="0"/>
    <n v="6"/>
    <n v="1107.1600000000001"/>
    <n v="0.15"/>
    <n v="0"/>
    <n v="941.08600000000001"/>
    <x v="2"/>
    <s v="Manoj Tiwari"/>
    <x v="0"/>
    <n v="24"/>
    <n v="4"/>
    <x v="3"/>
    <n v="863.58480000000009"/>
    <n v="32.200000000000003"/>
    <n v="895.78480000000013"/>
    <n v="45.301199999999881"/>
    <n v="45.301199999999881"/>
    <n v="4.0916579356190502E-2"/>
    <n v="0"/>
    <n v="0"/>
    <s v="Profitable"/>
  </r>
  <r>
    <s v="ORD10079"/>
    <d v="2026-04-17T19:06:00"/>
    <s v="Isha Bose"/>
    <x v="3"/>
    <s v="Mobile App"/>
    <x v="4"/>
    <n v="3"/>
    <n v="6115.07"/>
    <n v="0"/>
    <n v="0"/>
    <n v="6115.07"/>
    <x v="2"/>
    <s v="Nisha Pradhan"/>
    <x v="0"/>
    <n v="28"/>
    <n v="3"/>
    <x v="3"/>
    <n v="5381.2615999999998"/>
    <n v="33.4"/>
    <n v="5414.6615999999995"/>
    <n v="700.40840000000026"/>
    <n v="700.40840000000026"/>
    <n v="0.11453808378317833"/>
    <n v="0"/>
    <n v="0"/>
    <s v="Profitable"/>
  </r>
  <r>
    <s v="ORD10028"/>
    <d v="2026-04-17T22:40:00"/>
    <s v="Sneha Gupta"/>
    <x v="2"/>
    <s v="Website"/>
    <x v="3"/>
    <n v="4"/>
    <n v="2129.1999999999998"/>
    <n v="0"/>
    <n v="0"/>
    <n v="2129.1999999999998"/>
    <x v="1"/>
    <s v="Nisha Pradhan"/>
    <x v="0"/>
    <n v="18"/>
    <n v="3"/>
    <x v="3"/>
    <n v="1171.06"/>
    <n v="30.4"/>
    <n v="1201.46"/>
    <n v="927.73999999999978"/>
    <n v="927.73999999999978"/>
    <n v="0.43572233702799168"/>
    <n v="0"/>
    <n v="0"/>
    <s v="Profitable"/>
  </r>
  <r>
    <s v="ORD10207"/>
    <d v="2026-04-18T15:03:00"/>
    <s v="Sahil Nair"/>
    <x v="6"/>
    <s v="Mobile App"/>
    <x v="5"/>
    <n v="3"/>
    <n v="739.55"/>
    <n v="0"/>
    <n v="59"/>
    <n v="798.55"/>
    <x v="0"/>
    <s v="Bikash Mallick"/>
    <x v="0"/>
    <n v="28"/>
    <n v="5"/>
    <x v="3"/>
    <n v="480.70749999999998"/>
    <n v="33.4"/>
    <n v="514.10749999999996"/>
    <n v="284.4425"/>
    <n v="284.4425"/>
    <n v="0.3846156446487729"/>
    <n v="0"/>
    <n v="0"/>
    <s v="Profitable"/>
  </r>
  <r>
    <s v="ORD10104"/>
    <d v="2026-04-18T18:50:00"/>
    <s v="Sneha Agarwal"/>
    <x v="6"/>
    <s v="Mobile App"/>
    <x v="1"/>
    <n v="4"/>
    <n v="577.39"/>
    <n v="0"/>
    <n v="39"/>
    <n v="616.39"/>
    <x v="1"/>
    <s v="Lalita Rout"/>
    <x v="0"/>
    <n v="18"/>
    <n v="5"/>
    <x v="3"/>
    <n v="259.82549999999998"/>
    <n v="30.4"/>
    <n v="290.22549999999995"/>
    <n v="326.16450000000003"/>
    <n v="326.16450000000003"/>
    <n v="0.56489461196071988"/>
    <n v="0"/>
    <n v="0"/>
    <s v="Profitable"/>
  </r>
  <r>
    <s v="ORD10012"/>
    <d v="2026-04-19T19:46:00"/>
    <s v="Vivaan Rao"/>
    <x v="7"/>
    <s v="Mobile App"/>
    <x v="5"/>
    <n v="6"/>
    <n v="3022.69"/>
    <n v="0"/>
    <n v="0"/>
    <n v="3022.69"/>
    <x v="0"/>
    <s v="Sunil Barik"/>
    <x v="0"/>
    <n v="25"/>
    <n v="5"/>
    <x v="3"/>
    <n v="1964.7485000000001"/>
    <n v="32.5"/>
    <n v="1997.2485000000001"/>
    <n v="1025.4414999999999"/>
    <n v="1025.4414999999999"/>
    <n v="0.33924798771954778"/>
    <n v="0"/>
    <n v="0"/>
    <s v="Profitable"/>
  </r>
  <r>
    <s v="ORD10165"/>
    <d v="2026-04-21T10:43:00"/>
    <s v="Simran Kapoor"/>
    <x v="4"/>
    <s v="Mobile App"/>
    <x v="1"/>
    <n v="5"/>
    <n v="336.3"/>
    <n v="0"/>
    <n v="29"/>
    <n v="365.3"/>
    <x v="3"/>
    <s v="Deepak Sahu"/>
    <x v="0"/>
    <n v="66"/>
    <n v="5"/>
    <x v="3"/>
    <n v="151.33500000000001"/>
    <n v="44.8"/>
    <n v="196.13499999999999"/>
    <n v="169.16500000000002"/>
    <n v="169.16500000000002"/>
    <n v="0.50301813856675592"/>
    <n v="0"/>
    <n v="0"/>
    <s v="Profitable"/>
  </r>
  <r>
    <s v="ORD10067"/>
    <d v="2026-04-23T08:37:00"/>
    <s v="Sahil Mishra"/>
    <x v="3"/>
    <s v="Mobile App"/>
    <x v="4"/>
    <n v="3"/>
    <n v="5439.41"/>
    <n v="0.05"/>
    <n v="0"/>
    <n v="5167.4394999999995"/>
    <x v="1"/>
    <s v="Rekha Sethi"/>
    <x v="0"/>
    <n v="87"/>
    <n v="4"/>
    <x v="3"/>
    <n v="4786.6808000000001"/>
    <n v="51.099999999999994"/>
    <n v="4837.7808000000005"/>
    <n v="329.65869999999904"/>
    <n v="329.65869999999904"/>
    <n v="6.0605598768983963E-2"/>
    <n v="0"/>
    <n v="0"/>
    <s v="Profitable"/>
  </r>
  <r>
    <s v="ORD10094"/>
    <d v="2026-04-23T16:33:00"/>
    <s v="Isha Pillai"/>
    <x v="6"/>
    <s v="Mobile App"/>
    <x v="1"/>
    <n v="3"/>
    <n v="409.93"/>
    <n v="0.2"/>
    <n v="49"/>
    <n v="376.94400000000002"/>
    <x v="3"/>
    <s v="Kunal Mehta"/>
    <x v="0"/>
    <n v="60"/>
    <n v="3"/>
    <x v="3"/>
    <n v="184.46850000000001"/>
    <n v="43"/>
    <n v="227.46850000000001"/>
    <n v="149.47550000000001"/>
    <n v="149.47550000000001"/>
    <n v="0.36463664528090162"/>
    <n v="0"/>
    <n v="0"/>
    <s v="Profitable"/>
  </r>
  <r>
    <s v="ORD10055"/>
    <d v="2026-04-23T22:44:00"/>
    <s v="Aditi Iyer"/>
    <x v="5"/>
    <s v="Mobile App"/>
    <x v="3"/>
    <n v="6"/>
    <n v="2552.83"/>
    <n v="0"/>
    <n v="0"/>
    <n v="2552.83"/>
    <x v="1"/>
    <s v="Nisha Pradhan"/>
    <x v="0"/>
    <n v="19"/>
    <n v="5"/>
    <x v="3"/>
    <n v="1404.0565000000001"/>
    <n v="30.7"/>
    <n v="1434.7565000000002"/>
    <n v="1118.0734999999997"/>
    <n v="1118.0734999999997"/>
    <n v="0.43797413067066737"/>
    <n v="0"/>
    <n v="0"/>
    <s v="Profitable"/>
  </r>
  <r>
    <s v="ORD10099"/>
    <d v="2026-04-25T11:34:00"/>
    <s v="Aryan Singh"/>
    <x v="6"/>
    <s v="Website"/>
    <x v="0"/>
    <n v="4"/>
    <n v="1099.17"/>
    <n v="0"/>
    <n v="0"/>
    <n v="1099.17"/>
    <x v="0"/>
    <s v="Omkar Naik"/>
    <x v="0"/>
    <n v="91"/>
    <n v="4"/>
    <x v="3"/>
    <n v="857.35260000000005"/>
    <n v="52.3"/>
    <n v="909.65260000000001"/>
    <n v="189.51740000000007"/>
    <n v="189.51740000000007"/>
    <n v="0.17241864315801927"/>
    <n v="0"/>
    <n v="0"/>
    <s v="Profitable"/>
  </r>
  <r>
    <s v="ORD10178"/>
    <d v="2026-04-26T17:27:00"/>
    <s v="Karan Das"/>
    <x v="2"/>
    <s v="Website"/>
    <x v="4"/>
    <n v="2"/>
    <n v="4752.5"/>
    <n v="0.15"/>
    <n v="0"/>
    <n v="4039.625"/>
    <x v="3"/>
    <s v="Lalita Rout"/>
    <x v="0"/>
    <n v="86"/>
    <n v="3"/>
    <x v="3"/>
    <n v="4182.2"/>
    <n v="50.8"/>
    <n v="4233"/>
    <n v="-193.375"/>
    <n v="0"/>
    <n v="0"/>
    <n v="193.375"/>
    <n v="4.0689110994213573E-2"/>
    <s v="High Discount"/>
  </r>
  <r>
    <s v="ORD10190"/>
    <d v="2026-04-27T08:27:00"/>
    <s v="Aditi Bose"/>
    <x v="1"/>
    <s v="Website"/>
    <x v="0"/>
    <n v="2"/>
    <n v="1076.26"/>
    <n v="0"/>
    <n v="0"/>
    <n v="0"/>
    <x v="1"/>
    <s v="Imran Khan"/>
    <x v="1"/>
    <m/>
    <m/>
    <x v="3"/>
    <n v="0"/>
    <n v="15"/>
    <n v="15"/>
    <n v="-15"/>
    <n v="0"/>
    <n v="0"/>
    <n v="15"/>
    <n v="1.3937152732611079E-2"/>
    <s v="Order Cancelled"/>
  </r>
  <r>
    <s v="ORD10073"/>
    <d v="2026-04-27T09:42:00"/>
    <s v="Kabir Agarwal"/>
    <x v="0"/>
    <s v="Mobile App"/>
    <x v="0"/>
    <n v="1"/>
    <n v="203.11"/>
    <n v="0"/>
    <n v="39"/>
    <n v="242.11"/>
    <x v="1"/>
    <s v="Sunil Barik"/>
    <x v="0"/>
    <n v="44"/>
    <n v="3"/>
    <x v="3"/>
    <n v="158.42580000000001"/>
    <n v="38.200000000000003"/>
    <n v="196.62580000000003"/>
    <n v="45.484199999999987"/>
    <n v="45.484199999999987"/>
    <n v="0.22393875240017716"/>
    <n v="0"/>
    <n v="0"/>
    <s v="Profitable"/>
  </r>
  <r>
    <s v="ORD10121"/>
    <d v="2026-04-27T09:44:00"/>
    <s v="Simran Bose"/>
    <x v="6"/>
    <s v="Mobile App"/>
    <x v="0"/>
    <n v="4"/>
    <n v="637.66"/>
    <n v="0"/>
    <n v="39"/>
    <n v="0"/>
    <x v="0"/>
    <s v="Kunal Mehta"/>
    <x v="1"/>
    <m/>
    <m/>
    <x v="3"/>
    <n v="0"/>
    <n v="15"/>
    <n v="15"/>
    <n v="-15"/>
    <n v="0"/>
    <n v="0"/>
    <n v="15"/>
    <n v="2.3523507825486938E-2"/>
    <s v="Order Cancelled"/>
  </r>
  <r>
    <s v="ORD10202"/>
    <d v="2026-04-27T16:23:00"/>
    <s v="Shreya Sharma"/>
    <x v="0"/>
    <s v="Website"/>
    <x v="0"/>
    <n v="2"/>
    <n v="536.07000000000005"/>
    <n v="0"/>
    <n v="29"/>
    <n v="565.07000000000005"/>
    <x v="3"/>
    <s v="Ramesh Yadav"/>
    <x v="0"/>
    <n v="83"/>
    <n v="3"/>
    <x v="3"/>
    <n v="418.13460000000003"/>
    <n v="49.9"/>
    <n v="468.03460000000001"/>
    <n v="97.035400000000038"/>
    <n v="97.035400000000038"/>
    <n v="0.18101255433059121"/>
    <n v="0"/>
    <n v="0"/>
    <s v="Profitable"/>
  </r>
  <r>
    <s v="ORD10065"/>
    <d v="2026-04-27T21:19:00"/>
    <s v="Arjun Sharma"/>
    <x v="7"/>
    <s v="Mobile App"/>
    <x v="0"/>
    <n v="4"/>
    <n v="261.99"/>
    <n v="0.05"/>
    <n v="49"/>
    <n v="49"/>
    <x v="0"/>
    <s v="Manoj Tiwari"/>
    <x v="2"/>
    <n v="55"/>
    <n v="1"/>
    <x v="3"/>
    <n v="204.35220000000001"/>
    <n v="61.5"/>
    <n v="265.85220000000004"/>
    <n v="-216.85220000000004"/>
    <n v="0"/>
    <n v="0"/>
    <n v="216.85220000000004"/>
    <n v="0.82771174472308118"/>
    <s v="Order Returned"/>
  </r>
  <r>
    <s v="ORD10015"/>
    <d v="2026-04-28T13:59:00"/>
    <s v="Tara Bose"/>
    <x v="5"/>
    <s v="Mobile App"/>
    <x v="1"/>
    <n v="4"/>
    <n v="596.92999999999995"/>
    <n v="0.1"/>
    <n v="29"/>
    <n v="566.23699999999997"/>
    <x v="3"/>
    <s v="Deepak Sahu"/>
    <x v="0"/>
    <n v="82"/>
    <n v="4"/>
    <x v="3"/>
    <n v="268.61849999999998"/>
    <n v="49.599999999999994"/>
    <n v="318.21849999999995"/>
    <n v="248.01850000000002"/>
    <n v="248.01850000000002"/>
    <n v="0.41549009096543987"/>
    <n v="0"/>
    <n v="0"/>
    <s v="Profitable"/>
  </r>
  <r>
    <s v="ORD10056"/>
    <d v="2026-04-29T09:41:00"/>
    <s v="Pooja Nair"/>
    <x v="6"/>
    <s v="Mobile App"/>
    <x v="2"/>
    <n v="6"/>
    <n v="494.44"/>
    <n v="0.15"/>
    <n v="49"/>
    <n v="469.274"/>
    <x v="2"/>
    <s v="Omkar Naik"/>
    <x v="0"/>
    <n v="78"/>
    <n v="3"/>
    <x v="3"/>
    <n v="346.108"/>
    <n v="48.4"/>
    <n v="394.50799999999998"/>
    <n v="74.76600000000002"/>
    <n v="74.76600000000002"/>
    <n v="0.15121349405387918"/>
    <n v="0"/>
    <n v="0"/>
    <s v="Profitable"/>
  </r>
  <r>
    <s v="ORD10155"/>
    <d v="2026-04-30T09:51:00"/>
    <s v="Aarav Mishra"/>
    <x v="6"/>
    <s v="Mobile App"/>
    <x v="5"/>
    <n v="3"/>
    <n v="5503.12"/>
    <n v="0"/>
    <n v="0"/>
    <n v="5503.12"/>
    <x v="0"/>
    <s v="Deepak Sahu"/>
    <x v="0"/>
    <n v="90"/>
    <n v="3"/>
    <x v="3"/>
    <n v="3577.0280000000002"/>
    <n v="52"/>
    <n v="3629.0280000000002"/>
    <n v="1874.0919999999996"/>
    <n v="1874.0919999999996"/>
    <n v="0.34055081481050742"/>
    <n v="0"/>
    <n v="0"/>
    <s v="Profitable"/>
  </r>
  <r>
    <s v="ORD10040"/>
    <d v="2026-04-30T14:52:00"/>
    <s v="Tanya Kapoor"/>
    <x v="4"/>
    <s v="Mobile App"/>
    <x v="1"/>
    <n v="2"/>
    <n v="764.58"/>
    <n v="0"/>
    <n v="49"/>
    <n v="813.58"/>
    <x v="2"/>
    <s v="Usha Rani"/>
    <x v="0"/>
    <n v="77"/>
    <n v="5"/>
    <x v="3"/>
    <n v="344.06100000000004"/>
    <n v="48.099999999999994"/>
    <n v="392.16100000000006"/>
    <n v="421.41899999999998"/>
    <n v="421.41899999999998"/>
    <n v="0.55117711684846582"/>
    <n v="0"/>
    <n v="0"/>
    <s v="Profitable"/>
  </r>
  <r>
    <s v="ORD10117"/>
    <d v="2026-04-30T18:33:00"/>
    <s v="Rohan Singh"/>
    <x v="3"/>
    <s v="Website"/>
    <x v="4"/>
    <n v="5"/>
    <n v="9885.07"/>
    <n v="0"/>
    <n v="0"/>
    <n v="9885.07"/>
    <x v="1"/>
    <s v="Rekha Sethi"/>
    <x v="0"/>
    <n v="25"/>
    <n v="3"/>
    <x v="3"/>
    <n v="8698.8616000000002"/>
    <n v="32.5"/>
    <n v="8731.3616000000002"/>
    <n v="1153.7083999999995"/>
    <n v="1153.7083999999995"/>
    <n v="0.11671221346940382"/>
    <n v="0"/>
    <n v="0"/>
    <s v="Profitable"/>
  </r>
  <r>
    <s v="ORD10116"/>
    <d v="2026-04-30T20:35:00"/>
    <s v="Karan Patel"/>
    <x v="2"/>
    <s v="Website"/>
    <x v="0"/>
    <n v="1"/>
    <n v="474.76"/>
    <n v="0.15"/>
    <n v="59"/>
    <n v="462.54599999999999"/>
    <x v="2"/>
    <s v="Deepak Sahu"/>
    <x v="0"/>
    <n v="91"/>
    <n v="3"/>
    <x v="3"/>
    <n v="370.31279999999998"/>
    <n v="52.3"/>
    <n v="422.61279999999999"/>
    <n v="39.933199999999999"/>
    <n v="39.933199999999999"/>
    <n v="8.4112393630465923E-2"/>
    <n v="0"/>
    <n v="0"/>
    <s v="Profitable"/>
  </r>
  <r>
    <s v="ORD10046"/>
    <d v="2026-05-01T15:28:00"/>
    <s v="Manav Verma"/>
    <x v="3"/>
    <s v="Website"/>
    <x v="4"/>
    <n v="3"/>
    <n v="14163.1"/>
    <n v="0.05"/>
    <n v="0"/>
    <n v="13454.945"/>
    <x v="3"/>
    <s v="Anita Behera"/>
    <x v="0"/>
    <n v="69"/>
    <n v="4"/>
    <x v="4"/>
    <n v="12463.528"/>
    <n v="45.7"/>
    <n v="12509.228000000001"/>
    <n v="945.71699999999873"/>
    <n v="945.71699999999873"/>
    <n v="6.6773305279211381E-2"/>
    <n v="0"/>
    <n v="0"/>
    <s v="Profitable"/>
  </r>
  <r>
    <s v="ORD10033"/>
    <d v="2026-05-05T11:17:00"/>
    <s v="Pooja Sharma"/>
    <x v="6"/>
    <s v="Mobile App"/>
    <x v="3"/>
    <n v="3"/>
    <n v="2774.83"/>
    <n v="0.2"/>
    <n v="0"/>
    <n v="2219.864"/>
    <x v="2"/>
    <s v="Usha Rani"/>
    <x v="0"/>
    <n v="77"/>
    <n v="3"/>
    <x v="4"/>
    <n v="1526.1565000000001"/>
    <n v="48.099999999999994"/>
    <n v="1574.2565"/>
    <n v="645.60750000000007"/>
    <n v="645.60750000000007"/>
    <n v="0.23266560473974984"/>
    <n v="0"/>
    <n v="0"/>
    <s v="Profitable"/>
  </r>
  <r>
    <s v="ORD10100"/>
    <d v="2026-05-09T16:26:00"/>
    <s v="Nikhil Joshi"/>
    <x v="5"/>
    <s v="Website"/>
    <x v="5"/>
    <n v="5"/>
    <n v="1002.71"/>
    <n v="0"/>
    <n v="0"/>
    <n v="1002.71"/>
    <x v="3"/>
    <s v="Bikash Mallick"/>
    <x v="0"/>
    <n v="65"/>
    <n v="5"/>
    <x v="4"/>
    <n v="651.76150000000007"/>
    <n v="44.5"/>
    <n v="696.26150000000007"/>
    <n v="306.44849999999997"/>
    <n v="306.44849999999997"/>
    <n v="0.30562026907081802"/>
    <n v="0"/>
    <n v="0"/>
    <s v="Profitable"/>
  </r>
  <r>
    <s v="ORD10051"/>
    <d v="2026-05-09T16:31:00"/>
    <s v="Manav Sharma"/>
    <x v="1"/>
    <s v="Mobile App"/>
    <x v="3"/>
    <n v="4"/>
    <n v="3017.78"/>
    <n v="0.1"/>
    <n v="0"/>
    <n v="2716.0020000000004"/>
    <x v="0"/>
    <s v="Tarun Chauhan"/>
    <x v="0"/>
    <n v="47"/>
    <n v="5"/>
    <x v="4"/>
    <n v="1659.7790000000002"/>
    <n v="39.1"/>
    <n v="1698.8790000000001"/>
    <n v="1017.1230000000003"/>
    <n v="1017.1230000000003"/>
    <n v="0.3370434557853787"/>
    <n v="0"/>
    <n v="0"/>
    <s v="Profitable"/>
  </r>
  <r>
    <s v="ORD10119"/>
    <d v="2026-05-09T18:10:00"/>
    <s v="Dev Agarwal"/>
    <x v="1"/>
    <s v="Mobile App"/>
    <x v="1"/>
    <n v="2"/>
    <n v="626.99"/>
    <n v="0.15"/>
    <n v="49"/>
    <n v="581.94150000000002"/>
    <x v="3"/>
    <s v="Ramesh Yadav"/>
    <x v="0"/>
    <n v="21"/>
    <n v="3"/>
    <x v="4"/>
    <n v="282.14550000000003"/>
    <n v="31.3"/>
    <n v="313.44550000000004"/>
    <n v="268.49599999999998"/>
    <n v="268.49599999999998"/>
    <n v="0.42823011531284388"/>
    <n v="0"/>
    <n v="0"/>
    <s v="Profitable"/>
  </r>
  <r>
    <s v="ORD10198"/>
    <d v="2026-05-10T12:40:00"/>
    <s v="Kritika Nair"/>
    <x v="4"/>
    <s v="Website"/>
    <x v="1"/>
    <n v="4"/>
    <n v="661.45"/>
    <n v="0"/>
    <n v="39"/>
    <n v="700.45"/>
    <x v="0"/>
    <s v="Gaurav Nanda"/>
    <x v="0"/>
    <n v="28"/>
    <n v="5"/>
    <x v="4"/>
    <n v="297.65250000000003"/>
    <n v="33.4"/>
    <n v="331.05250000000001"/>
    <n v="369.39750000000004"/>
    <n v="369.39750000000004"/>
    <n v="0.55846624839368053"/>
    <n v="0"/>
    <n v="0"/>
    <s v="Profitable"/>
  </r>
  <r>
    <s v="ORD10025"/>
    <d v="2026-05-10T12:42:00"/>
    <s v="Riya Agarwal"/>
    <x v="1"/>
    <s v="Mobile App"/>
    <x v="3"/>
    <n v="3"/>
    <n v="2351.33"/>
    <n v="0"/>
    <n v="0"/>
    <n v="2351.33"/>
    <x v="2"/>
    <s v="Farhan Ali"/>
    <x v="0"/>
    <n v="66"/>
    <n v="5"/>
    <x v="4"/>
    <n v="1293.2315000000001"/>
    <n v="44.8"/>
    <n v="1338.0315000000001"/>
    <n v="1013.2984999999999"/>
    <n v="1013.2984999999999"/>
    <n v="0.43094695342635864"/>
    <n v="0"/>
    <n v="0"/>
    <s v="Profitable"/>
  </r>
  <r>
    <s v="ORD10063"/>
    <d v="2026-05-16T14:36:00"/>
    <s v="Rahul Mishra"/>
    <x v="2"/>
    <s v="Mobile App"/>
    <x v="1"/>
    <n v="2"/>
    <n v="163.16999999999999"/>
    <n v="0.2"/>
    <n v="59"/>
    <n v="189.536"/>
    <x v="1"/>
    <s v="Harpreet Singh"/>
    <x v="0"/>
    <n v="92"/>
    <n v="3"/>
    <x v="4"/>
    <n v="73.42649999999999"/>
    <n v="52.599999999999994"/>
    <n v="126.02649999999998"/>
    <n v="63.509500000000017"/>
    <n v="63.509500000000017"/>
    <n v="0.38922289636575363"/>
    <n v="0"/>
    <n v="0"/>
    <s v="Profitable"/>
  </r>
  <r>
    <s v="ORD10071"/>
    <d v="2026-05-18T10:24:00"/>
    <s v="Varun Menon"/>
    <x v="6"/>
    <s v="Mobile App"/>
    <x v="3"/>
    <n v="6"/>
    <n v="2876.99"/>
    <n v="0.1"/>
    <n v="0"/>
    <n v="2589.2909999999997"/>
    <x v="2"/>
    <s v="Bikash Mallick"/>
    <x v="0"/>
    <n v="37"/>
    <n v="4"/>
    <x v="4"/>
    <n v="1582.3444999999999"/>
    <n v="36.1"/>
    <n v="1618.4444999999998"/>
    <n v="970.84649999999988"/>
    <n v="970.84649999999988"/>
    <n v="0.33745216354592822"/>
    <n v="0"/>
    <n v="0"/>
    <s v="Profitable"/>
  </r>
  <r>
    <s v="ORD10149"/>
    <d v="2026-05-19T11:48:00"/>
    <s v="Ishaan Nair"/>
    <x v="0"/>
    <s v="Mobile App"/>
    <x v="2"/>
    <n v="5"/>
    <n v="1490.75"/>
    <n v="0"/>
    <n v="0"/>
    <n v="1490.75"/>
    <x v="0"/>
    <s v="Jyoti Panda"/>
    <x v="0"/>
    <n v="59"/>
    <n v="3"/>
    <x v="4"/>
    <n v="1043.5249999999999"/>
    <n v="42.7"/>
    <n v="1086.2249999999999"/>
    <n v="404.52500000000009"/>
    <n v="404.52500000000009"/>
    <n v="0.27135669964782833"/>
    <n v="0"/>
    <n v="0"/>
    <s v="Profitable"/>
  </r>
  <r>
    <s v="ORD10173"/>
    <d v="2026-05-20T08:50:00"/>
    <s v="Vivaan Agarwal"/>
    <x v="6"/>
    <s v="Website"/>
    <x v="5"/>
    <n v="5"/>
    <n v="3644.16"/>
    <n v="0"/>
    <n v="0"/>
    <n v="3644.16"/>
    <x v="3"/>
    <s v="Usha Rani"/>
    <x v="0"/>
    <n v="63"/>
    <n v="3"/>
    <x v="4"/>
    <n v="2368.7040000000002"/>
    <n v="43.9"/>
    <n v="2412.6040000000003"/>
    <n v="1231.5559999999996"/>
    <n v="1231.5559999999996"/>
    <n v="0.33795332806462935"/>
    <n v="0"/>
    <n v="0"/>
    <s v="Profitable"/>
  </r>
  <r>
    <s v="ORD10108"/>
    <d v="2026-05-20T15:16:00"/>
    <s v="Simran Malhotra"/>
    <x v="6"/>
    <s v="Mobile App"/>
    <x v="0"/>
    <n v="3"/>
    <n v="524.82000000000005"/>
    <n v="0.2"/>
    <n v="29"/>
    <n v="448.85600000000005"/>
    <x v="0"/>
    <s v="Manoj Tiwari"/>
    <x v="0"/>
    <n v="65"/>
    <n v="4"/>
    <x v="4"/>
    <n v="409.35960000000006"/>
    <n v="44.5"/>
    <n v="453.85960000000006"/>
    <n v="-5.0036000000000058"/>
    <n v="0"/>
    <n v="0"/>
    <n v="5.0036000000000058"/>
    <n v="9.533935444533374E-3"/>
    <s v="High Discount"/>
  </r>
  <r>
    <s v="ORD10189"/>
    <d v="2026-05-21T17:08:00"/>
    <s v="Tara Gupta"/>
    <x v="2"/>
    <s v="Mobile App"/>
    <x v="3"/>
    <n v="3"/>
    <n v="3608.37"/>
    <n v="0.2"/>
    <n v="0"/>
    <n v="2886.6959999999999"/>
    <x v="3"/>
    <s v="Bikash Mallick"/>
    <x v="0"/>
    <n v="76"/>
    <n v="3"/>
    <x v="4"/>
    <n v="1984.6035000000002"/>
    <n v="47.8"/>
    <n v="2032.4035000000001"/>
    <n v="854.29249999999979"/>
    <n v="854.29249999999979"/>
    <n v="0.23675302144735708"/>
    <n v="0"/>
    <n v="0"/>
    <s v="Profitable"/>
  </r>
  <r>
    <s v="ORD10177"/>
    <d v="2026-05-22T10:21:00"/>
    <s v="Simran Ghosh"/>
    <x v="0"/>
    <s v="Website"/>
    <x v="3"/>
    <n v="2"/>
    <n v="3251.7"/>
    <n v="0.15"/>
    <n v="0"/>
    <n v="2763.9449999999997"/>
    <x v="1"/>
    <s v="Suresh Kumar"/>
    <x v="0"/>
    <n v="73"/>
    <n v="4"/>
    <x v="4"/>
    <n v="1788.4349999999999"/>
    <n v="46.9"/>
    <n v="1835.335"/>
    <n v="928.60999999999967"/>
    <n v="928.60999999999967"/>
    <n v="0.2855767752252667"/>
    <n v="0"/>
    <n v="0"/>
    <s v="Profitable"/>
  </r>
  <r>
    <s v="ORD10080"/>
    <d v="2026-05-23T08:37:00"/>
    <s v="Isha Agarwal"/>
    <x v="0"/>
    <s v="Mobile App"/>
    <x v="5"/>
    <n v="6"/>
    <n v="908.94"/>
    <n v="0"/>
    <n v="59"/>
    <n v="59"/>
    <x v="3"/>
    <s v="Lalita Rout"/>
    <x v="2"/>
    <n v="94"/>
    <n v="2"/>
    <x v="4"/>
    <n v="590.81100000000004"/>
    <n v="73.2"/>
    <n v="664.01100000000008"/>
    <n v="-605.01100000000008"/>
    <n v="0"/>
    <n v="0"/>
    <n v="605.01100000000008"/>
    <n v="0.66562259335049623"/>
    <s v="Order Returned"/>
  </r>
  <r>
    <s v="ORD10181"/>
    <d v="2026-05-23T10:31:00"/>
    <s v="Varun Kapoor"/>
    <x v="2"/>
    <s v="Mobile App"/>
    <x v="4"/>
    <n v="4"/>
    <n v="9595.6200000000008"/>
    <n v="0.2"/>
    <n v="0"/>
    <n v="0"/>
    <x v="0"/>
    <s v="Gaurav Nanda"/>
    <x v="2"/>
    <n v="80"/>
    <n v="1"/>
    <x v="4"/>
    <n v="8444.1456000000017"/>
    <n v="69"/>
    <n v="8513.1456000000017"/>
    <n v="-8513.1456000000017"/>
    <n v="0"/>
    <n v="0"/>
    <n v="8513.1456000000017"/>
    <n v="0.88719078079373725"/>
    <s v="Order Returned"/>
  </r>
  <r>
    <s v="ORD10132"/>
    <d v="2026-05-23T12:14:00"/>
    <s v="Priya Reddy"/>
    <x v="6"/>
    <s v="Website"/>
    <x v="5"/>
    <n v="3"/>
    <n v="4288.43"/>
    <n v="0.15"/>
    <n v="0"/>
    <n v="3645.1655000000001"/>
    <x v="2"/>
    <s v="Imran Khan"/>
    <x v="0"/>
    <n v="62"/>
    <n v="5"/>
    <x v="4"/>
    <n v="2787.4795000000004"/>
    <n v="43.599999999999994"/>
    <n v="2831.0795000000003"/>
    <n v="814.08599999999979"/>
    <n v="814.08599999999979"/>
    <n v="0.18983310908654211"/>
    <n v="0"/>
    <n v="0"/>
    <s v="Profitable"/>
  </r>
  <r>
    <s v="ORD10152"/>
    <d v="2026-05-23T16:08:00"/>
    <s v="Yash Ghosh"/>
    <x v="7"/>
    <s v="Mobile App"/>
    <x v="4"/>
    <n v="3"/>
    <n v="9983.2199999999993"/>
    <n v="0.05"/>
    <n v="0"/>
    <n v="9484.0589999999993"/>
    <x v="0"/>
    <s v="Imran Khan"/>
    <x v="0"/>
    <n v="42"/>
    <n v="3"/>
    <x v="4"/>
    <n v="8785.2335999999996"/>
    <n v="37.6"/>
    <n v="8822.8335999999999"/>
    <n v="661.22539999999935"/>
    <n v="661.22539999999935"/>
    <n v="6.6233680115233298E-2"/>
    <n v="0"/>
    <n v="0"/>
    <s v="Profitable"/>
  </r>
  <r>
    <s v="ORD10131"/>
    <d v="2026-05-24T13:42:00"/>
    <s v="Kabir Iyer"/>
    <x v="1"/>
    <s v="Mobile App"/>
    <x v="3"/>
    <n v="2"/>
    <n v="2000.76"/>
    <n v="0.1"/>
    <n v="0"/>
    <n v="1800.684"/>
    <x v="0"/>
    <s v="Pankaj Dey"/>
    <x v="0"/>
    <n v="51"/>
    <n v="5"/>
    <x v="4"/>
    <n v="1100.4180000000001"/>
    <n v="40.299999999999997"/>
    <n v="1140.7180000000001"/>
    <n v="659.96599999999989"/>
    <n v="659.96599999999989"/>
    <n v="0.32985765409144518"/>
    <n v="0"/>
    <n v="0"/>
    <s v="Profitable"/>
  </r>
  <r>
    <s v="ORD10216"/>
    <d v="2026-05-25T16:20:00"/>
    <s v="Aryan Agarwal"/>
    <x v="0"/>
    <s v="Mobile App"/>
    <x v="4"/>
    <n v="3"/>
    <n v="9279.0499999999993"/>
    <n v="0"/>
    <n v="0"/>
    <n v="9279.0499999999993"/>
    <x v="0"/>
    <s v="Lalita Rout"/>
    <x v="0"/>
    <n v="78"/>
    <n v="5"/>
    <x v="4"/>
    <n v="8165.5639999999994"/>
    <n v="48.4"/>
    <n v="8213.9639999999999"/>
    <n v="1065.0859999999993"/>
    <n v="1065.0859999999993"/>
    <n v="0.11478394878786076"/>
    <n v="0"/>
    <n v="0"/>
    <s v="Profitable"/>
  </r>
  <r>
    <s v="ORD10183"/>
    <d v="2026-05-25T19:49:00"/>
    <s v="Divya Reddy"/>
    <x v="0"/>
    <s v="Mobile App"/>
    <x v="1"/>
    <n v="1"/>
    <n v="558.16999999999996"/>
    <n v="0"/>
    <n v="49"/>
    <n v="607.16999999999996"/>
    <x v="3"/>
    <s v="Gaurav Nanda"/>
    <x v="0"/>
    <n v="74"/>
    <n v="5"/>
    <x v="4"/>
    <n v="251.17649999999998"/>
    <n v="47.2"/>
    <n v="298.37649999999996"/>
    <n v="308.79349999999999"/>
    <n v="308.79349999999999"/>
    <n v="0.55322482397835793"/>
    <n v="0"/>
    <n v="0"/>
    <s v="Profitable"/>
  </r>
  <r>
    <s v="ORD10006"/>
    <d v="2026-05-26T09:05:00"/>
    <s v="Tara Pillai"/>
    <x v="0"/>
    <s v="Website"/>
    <x v="1"/>
    <n v="5"/>
    <n v="712.67"/>
    <n v="0"/>
    <n v="59"/>
    <n v="771.67"/>
    <x v="1"/>
    <s v="Gaurav Nanda"/>
    <x v="0"/>
    <n v="95"/>
    <n v="4"/>
    <x v="4"/>
    <n v="320.70150000000001"/>
    <n v="53.5"/>
    <n v="374.20150000000001"/>
    <n v="397.46849999999995"/>
    <n v="397.46849999999995"/>
    <n v="0.55771745688747942"/>
    <n v="0"/>
    <n v="0"/>
    <s v="Profitable"/>
  </r>
  <r>
    <s v="ORD10052"/>
    <d v="2026-05-28T08:48:00"/>
    <s v="Neha Chatterjee"/>
    <x v="4"/>
    <s v="Mobile App"/>
    <x v="1"/>
    <n v="6"/>
    <n v="453.78"/>
    <n v="0"/>
    <n v="39"/>
    <n v="492.78"/>
    <x v="2"/>
    <s v="Pankaj Dey"/>
    <x v="0"/>
    <n v="80"/>
    <n v="3"/>
    <x v="4"/>
    <n v="204.20099999999999"/>
    <n v="49"/>
    <n v="253.20099999999999"/>
    <n v="239.57899999999998"/>
    <n v="239.57899999999998"/>
    <n v="0.52796288950592796"/>
    <n v="0"/>
    <n v="0"/>
    <s v="Profitable"/>
  </r>
  <r>
    <s v="ORD10014"/>
    <d v="2026-05-29T17:02:00"/>
    <s v="Yash Nair"/>
    <x v="1"/>
    <s v="Mobile App"/>
    <x v="1"/>
    <n v="5"/>
    <n v="552.17999999999995"/>
    <n v="0"/>
    <n v="49"/>
    <n v="601.17999999999995"/>
    <x v="1"/>
    <s v="Imran Khan"/>
    <x v="0"/>
    <n v="58"/>
    <n v="3"/>
    <x v="4"/>
    <n v="248.48099999999999"/>
    <n v="42.4"/>
    <n v="290.88099999999997"/>
    <n v="310.29899999999998"/>
    <n v="310.29899999999998"/>
    <n v="0.56195262414430081"/>
    <n v="0"/>
    <n v="0"/>
    <s v="Profitable"/>
  </r>
  <r>
    <s v="ORD10128"/>
    <d v="2026-06-01T13:32:00"/>
    <s v="Priya Sharma"/>
    <x v="2"/>
    <s v="Mobile App"/>
    <x v="2"/>
    <n v="6"/>
    <n v="879.35"/>
    <n v="0.05"/>
    <n v="29"/>
    <n v="864.38249999999994"/>
    <x v="0"/>
    <s v="Tarun Chauhan"/>
    <x v="0"/>
    <n v="32"/>
    <n v="4"/>
    <x v="5"/>
    <n v="615.54499999999996"/>
    <n v="34.6"/>
    <n v="650.14499999999998"/>
    <n v="214.23749999999995"/>
    <n v="214.23749999999995"/>
    <n v="0.24363165974867795"/>
    <n v="0"/>
    <n v="0"/>
    <s v="Profitable"/>
  </r>
  <r>
    <s v="ORD10034"/>
    <d v="2026-06-01T17:42:00"/>
    <s v="Karan Rao"/>
    <x v="6"/>
    <s v="Mobile App"/>
    <x v="0"/>
    <n v="2"/>
    <n v="1060.19"/>
    <n v="0"/>
    <n v="0"/>
    <n v="1060.19"/>
    <x v="3"/>
    <s v="Omkar Naik"/>
    <x v="0"/>
    <n v="59"/>
    <n v="3"/>
    <x v="5"/>
    <n v="826.94820000000004"/>
    <n v="42.7"/>
    <n v="869.64820000000009"/>
    <n v="190.54179999999997"/>
    <n v="190.54179999999997"/>
    <n v="0.17972420037917727"/>
    <n v="0"/>
    <n v="0"/>
    <s v="Profitable"/>
  </r>
  <r>
    <s v="ORD10169"/>
    <d v="2026-06-02T17:12:00"/>
    <s v="Divya Ghosh"/>
    <x v="3"/>
    <s v="Mobile App"/>
    <x v="3"/>
    <n v="1"/>
    <n v="3810.65"/>
    <n v="0"/>
    <n v="0"/>
    <n v="3810.65"/>
    <x v="2"/>
    <s v="Kunal Mehta"/>
    <x v="0"/>
    <n v="60"/>
    <n v="4"/>
    <x v="5"/>
    <n v="2095.8575000000001"/>
    <n v="43"/>
    <n v="2138.8575000000001"/>
    <n v="1671.7925"/>
    <n v="1671.7925"/>
    <n v="0.43871583588101765"/>
    <n v="0"/>
    <n v="0"/>
    <s v="Profitable"/>
  </r>
  <r>
    <s v="ORD10096"/>
    <d v="2026-06-02T19:05:00"/>
    <s v="Aarav Bose"/>
    <x v="1"/>
    <s v="Mobile App"/>
    <x v="4"/>
    <n v="3"/>
    <n v="12347.22"/>
    <n v="0.15"/>
    <n v="0"/>
    <n v="10495.136999999999"/>
    <x v="3"/>
    <s v="Lalita Rout"/>
    <x v="0"/>
    <n v="72"/>
    <n v="5"/>
    <x v="5"/>
    <n v="10865.553599999999"/>
    <n v="46.599999999999994"/>
    <n v="10912.1536"/>
    <n v="-417.01660000000084"/>
    <n v="0"/>
    <n v="0"/>
    <n v="417.01660000000084"/>
    <n v="3.3774128913229118E-2"/>
    <s v="High Discount"/>
  </r>
  <r>
    <s v="ORD10093"/>
    <d v="2026-06-04T15:32:00"/>
    <s v="Vivaan Iyer"/>
    <x v="2"/>
    <s v="Mobile App"/>
    <x v="0"/>
    <n v="1"/>
    <n v="1001.52"/>
    <n v="0.2"/>
    <n v="0"/>
    <n v="0"/>
    <x v="0"/>
    <s v="Farhan Ali"/>
    <x v="2"/>
    <n v="28"/>
    <n v="3"/>
    <x v="5"/>
    <n v="781.18560000000002"/>
    <n v="53.4"/>
    <n v="834.5856"/>
    <n v="-834.5856"/>
    <n v="0"/>
    <n v="0"/>
    <n v="834.5856"/>
    <n v="0.83331895518811405"/>
    <s v="Order Returned"/>
  </r>
  <r>
    <s v="ORD10142"/>
    <d v="2026-06-05T13:26:00"/>
    <s v="Rahul Joshi"/>
    <x v="4"/>
    <s v="Website"/>
    <x v="1"/>
    <n v="5"/>
    <n v="741.6"/>
    <n v="0.2"/>
    <n v="39"/>
    <n v="632.28000000000009"/>
    <x v="1"/>
    <s v="Rekha Sethi"/>
    <x v="0"/>
    <n v="94"/>
    <n v="3"/>
    <x v="5"/>
    <n v="333.72"/>
    <n v="53.2"/>
    <n v="386.92"/>
    <n v="245.36000000000007"/>
    <n v="245.36000000000007"/>
    <n v="0.33085221143473581"/>
    <n v="0"/>
    <n v="0"/>
    <s v="Profitable"/>
  </r>
  <r>
    <s v="ORD10066"/>
    <d v="2026-06-05T19:31:00"/>
    <s v="Ishaan Verma"/>
    <x v="1"/>
    <s v="Website"/>
    <x v="2"/>
    <n v="2"/>
    <n v="942.03"/>
    <n v="0"/>
    <n v="39"/>
    <n v="981.03"/>
    <x v="1"/>
    <s v="Bikash Mallick"/>
    <x v="0"/>
    <n v="35"/>
    <n v="5"/>
    <x v="5"/>
    <n v="659.42099999999994"/>
    <n v="35.5"/>
    <n v="694.92099999999994"/>
    <n v="286.10900000000004"/>
    <n v="286.10900000000004"/>
    <n v="0.30371538061420555"/>
    <n v="0"/>
    <n v="0"/>
    <s v="Profitable"/>
  </r>
  <r>
    <s v="ORD10082"/>
    <d v="2026-06-05T22:42:00"/>
    <s v="Tanya Kapoor"/>
    <x v="5"/>
    <s v="Mobile App"/>
    <x v="2"/>
    <n v="2"/>
    <n v="468.04"/>
    <n v="0.2"/>
    <n v="49"/>
    <n v="423.43200000000002"/>
    <x v="0"/>
    <s v="Tarun Chauhan"/>
    <x v="0"/>
    <n v="41"/>
    <n v="3"/>
    <x v="5"/>
    <n v="327.62799999999999"/>
    <n v="37.299999999999997"/>
    <n v="364.928"/>
    <n v="58.504000000000019"/>
    <n v="58.504000000000019"/>
    <n v="0.12499786343047606"/>
    <n v="0"/>
    <n v="0"/>
    <s v="Profitable"/>
  </r>
  <r>
    <s v="ORD10070"/>
    <d v="2026-06-06T11:41:00"/>
    <s v="Isha Reddy"/>
    <x v="0"/>
    <s v="Website"/>
    <x v="0"/>
    <n v="6"/>
    <n v="467.3"/>
    <n v="0.05"/>
    <n v="29"/>
    <n v="472.935"/>
    <x v="1"/>
    <s v="Pankaj Dey"/>
    <x v="0"/>
    <n v="22"/>
    <n v="4"/>
    <x v="5"/>
    <n v="364.49400000000003"/>
    <n v="31.6"/>
    <n v="396.09400000000005"/>
    <n v="76.840999999999951"/>
    <n v="76.840999999999951"/>
    <n v="0.16443612240530697"/>
    <n v="0"/>
    <n v="0"/>
    <s v="Profitable"/>
  </r>
  <r>
    <s v="ORD10076"/>
    <d v="2026-06-07T08:46:00"/>
    <s v="Ananya Malhotra"/>
    <x v="5"/>
    <s v="Website"/>
    <x v="1"/>
    <n v="5"/>
    <n v="341.3"/>
    <n v="0.15"/>
    <n v="29"/>
    <n v="29"/>
    <x v="3"/>
    <s v="Bikash Mallick"/>
    <x v="2"/>
    <n v="69"/>
    <n v="2"/>
    <x v="5"/>
    <n v="153.58500000000001"/>
    <n v="65.7"/>
    <n v="219.28500000000003"/>
    <n v="-190.28500000000003"/>
    <n v="0"/>
    <n v="0"/>
    <n v="190.28500000000003"/>
    <n v="0.55753003222970998"/>
    <s v="Order Returned"/>
  </r>
  <r>
    <s v="ORD10091"/>
    <d v="2026-06-10T13:09:00"/>
    <s v="Rahul Verma"/>
    <x v="7"/>
    <s v="Mobile App"/>
    <x v="3"/>
    <n v="6"/>
    <n v="1420.44"/>
    <n v="0"/>
    <n v="0"/>
    <n v="1420.44"/>
    <x v="3"/>
    <s v="Omkar Naik"/>
    <x v="0"/>
    <n v="27"/>
    <n v="4"/>
    <x v="5"/>
    <n v="781.24200000000008"/>
    <n v="33.1"/>
    <n v="814.3420000000001"/>
    <n v="606.09799999999996"/>
    <n v="606.09799999999996"/>
    <n v="0.42669736138098047"/>
    <n v="0"/>
    <n v="0"/>
    <s v="Profitable"/>
  </r>
  <r>
    <s v="ORD10187"/>
    <d v="2026-06-10T14:24:00"/>
    <s v="Karan Agarwal"/>
    <x v="7"/>
    <s v="Mobile App"/>
    <x v="3"/>
    <n v="1"/>
    <n v="1790.55"/>
    <n v="0.15"/>
    <n v="0"/>
    <n v="1521.9675"/>
    <x v="0"/>
    <s v="Pankaj Dey"/>
    <x v="0"/>
    <n v="65"/>
    <n v="4"/>
    <x v="5"/>
    <n v="984.80250000000001"/>
    <n v="44.5"/>
    <n v="1029.3025"/>
    <n v="492.66499999999996"/>
    <n v="492.66499999999996"/>
    <n v="0.27514730110859792"/>
    <n v="0"/>
    <n v="0"/>
    <s v="Profitable"/>
  </r>
  <r>
    <s v="ORD10194"/>
    <d v="2026-06-10T19:09:00"/>
    <s v="Neha Chatterjee"/>
    <x v="4"/>
    <s v="Mobile App"/>
    <x v="5"/>
    <n v="4"/>
    <n v="5187.78"/>
    <n v="0"/>
    <n v="0"/>
    <n v="5187.78"/>
    <x v="3"/>
    <s v="Manoj Tiwari"/>
    <x v="0"/>
    <n v="33"/>
    <n v="5"/>
    <x v="5"/>
    <n v="3372.0569999999998"/>
    <n v="34.9"/>
    <n v="3406.9569999999999"/>
    <n v="1780.8229999999999"/>
    <n v="1780.8229999999999"/>
    <n v="0.34327265227129911"/>
    <n v="0"/>
    <n v="0"/>
    <s v="Profitable"/>
  </r>
  <r>
    <s v="ORD10018"/>
    <d v="2026-06-12T14:53:00"/>
    <s v="Pooja Sharma"/>
    <x v="5"/>
    <s v="Mobile App"/>
    <x v="4"/>
    <n v="2"/>
    <n v="9847.01"/>
    <n v="0"/>
    <n v="0"/>
    <n v="9847.01"/>
    <x v="1"/>
    <s v="Nisha Pradhan"/>
    <x v="0"/>
    <n v="88"/>
    <n v="5"/>
    <x v="5"/>
    <n v="8665.3688000000002"/>
    <n v="51.4"/>
    <n v="8716.7687999999998"/>
    <n v="1130.2412000000004"/>
    <n v="1130.2412000000004"/>
    <n v="0.11478014138301884"/>
    <n v="0"/>
    <n v="0"/>
    <s v="Profitable"/>
  </r>
  <r>
    <s v="ORD10004"/>
    <d v="2026-06-14T13:07:00"/>
    <s v="Shreya Singh"/>
    <x v="0"/>
    <s v="Mobile App"/>
    <x v="4"/>
    <n v="1"/>
    <n v="14344.19"/>
    <n v="0.15"/>
    <n v="0"/>
    <n v="0"/>
    <x v="0"/>
    <s v="Bikash Mallick"/>
    <x v="2"/>
    <n v="40"/>
    <n v="3"/>
    <x v="5"/>
    <n v="12622.887200000001"/>
    <n v="57"/>
    <n v="12679.887200000001"/>
    <n v="-12679.887200000001"/>
    <n v="0"/>
    <n v="0"/>
    <n v="12679.887200000001"/>
    <n v="0.88397373431333526"/>
    <s v="Order Returned"/>
  </r>
  <r>
    <s v="ORD10120"/>
    <d v="2026-06-16T11:49:00"/>
    <s v="Kritika Kapoor"/>
    <x v="1"/>
    <s v="Mobile App"/>
    <x v="3"/>
    <n v="1"/>
    <n v="2142.7399999999998"/>
    <n v="0.15"/>
    <n v="0"/>
    <n v="1821.3289999999997"/>
    <x v="0"/>
    <s v="Harpreet Singh"/>
    <x v="0"/>
    <n v="56"/>
    <n v="4"/>
    <x v="5"/>
    <n v="1178.5070000000001"/>
    <n v="41.8"/>
    <n v="1220.307"/>
    <n v="601.02199999999971"/>
    <n v="601.02199999999971"/>
    <n v="0.28049226691059098"/>
    <n v="0"/>
    <n v="0"/>
    <s v="Profitable"/>
  </r>
  <r>
    <s v="ORD10113"/>
    <d v="2026-06-16T12:15:00"/>
    <s v="Kabir Ghosh"/>
    <x v="1"/>
    <s v="Mobile App"/>
    <x v="5"/>
    <n v="2"/>
    <n v="3094.45"/>
    <n v="0.05"/>
    <n v="0"/>
    <n v="2939.7274999999995"/>
    <x v="3"/>
    <s v="Omkar Naik"/>
    <x v="0"/>
    <n v="51"/>
    <n v="5"/>
    <x v="5"/>
    <n v="2011.3924999999999"/>
    <n v="40.299999999999997"/>
    <n v="2051.6925000000001"/>
    <n v="888.0349999999994"/>
    <n v="888.0349999999994"/>
    <n v="0.28697668406340365"/>
    <n v="0"/>
    <n v="0"/>
    <s v="Profitable"/>
  </r>
  <r>
    <s v="ORD10054"/>
    <d v="2026-06-18T21:34:00"/>
    <s v="Pooja Nair"/>
    <x v="1"/>
    <s v="Mobile App"/>
    <x v="3"/>
    <n v="5"/>
    <n v="1638.58"/>
    <n v="0.2"/>
    <n v="0"/>
    <n v="1310.864"/>
    <x v="2"/>
    <s v="Imran Khan"/>
    <x v="0"/>
    <n v="24"/>
    <n v="3"/>
    <x v="5"/>
    <n v="901.21900000000005"/>
    <n v="32.200000000000003"/>
    <n v="933.4190000000001"/>
    <n v="377.44499999999994"/>
    <n v="377.44499999999994"/>
    <n v="0.23034883862856861"/>
    <n v="0"/>
    <n v="0"/>
    <s v="Profitable"/>
  </r>
  <r>
    <s v="ORD10098"/>
    <d v="2026-06-19T13:56:00"/>
    <s v="Rahul Ghosh"/>
    <x v="1"/>
    <s v="Mobile App"/>
    <x v="1"/>
    <n v="4"/>
    <n v="223.4"/>
    <n v="0"/>
    <n v="39"/>
    <n v="262.39999999999998"/>
    <x v="2"/>
    <s v="Harpreet Singh"/>
    <x v="0"/>
    <n v="64"/>
    <n v="5"/>
    <x v="5"/>
    <n v="100.53"/>
    <n v="44.2"/>
    <n v="144.73000000000002"/>
    <n v="117.66999999999996"/>
    <n v="117.66999999999996"/>
    <n v="0.52672336615935522"/>
    <n v="0"/>
    <n v="0"/>
    <s v="Profitable"/>
  </r>
  <r>
    <s v="ORD10111"/>
    <d v="2026-06-21T18:25:00"/>
    <s v="Aditi Iyer"/>
    <x v="4"/>
    <s v="Website"/>
    <x v="4"/>
    <n v="6"/>
    <n v="3071.81"/>
    <n v="0"/>
    <n v="0"/>
    <n v="3071.81"/>
    <x v="1"/>
    <s v="Deepak Sahu"/>
    <x v="0"/>
    <n v="74"/>
    <n v="3"/>
    <x v="5"/>
    <n v="2703.1927999999998"/>
    <n v="47.2"/>
    <n v="2750.3927999999996"/>
    <n v="321.41720000000032"/>
    <n v="321.41720000000032"/>
    <n v="0.1046344663244147"/>
    <n v="0"/>
    <n v="0"/>
    <s v="Profitable"/>
  </r>
  <r>
    <s v="ORD10180"/>
    <d v="2026-06-22T10:20:00"/>
    <s v="Meera Menon"/>
    <x v="3"/>
    <s v="Mobile App"/>
    <x v="0"/>
    <n v="2"/>
    <n v="541.97"/>
    <n v="0"/>
    <n v="59"/>
    <n v="600.97"/>
    <x v="2"/>
    <s v="Nisha Pradhan"/>
    <x v="0"/>
    <n v="91"/>
    <n v="4"/>
    <x v="5"/>
    <n v="422.73660000000001"/>
    <n v="52.3"/>
    <n v="475.03660000000002"/>
    <n v="125.93340000000001"/>
    <n v="125.93340000000001"/>
    <n v="0.23236230787681975"/>
    <n v="0"/>
    <n v="0"/>
    <s v="Profitable"/>
  </r>
  <r>
    <s v="ORD10023"/>
    <d v="2026-06-23T21:34:00"/>
    <s v="Divya Ghosh"/>
    <x v="5"/>
    <s v="Mobile App"/>
    <x v="4"/>
    <n v="3"/>
    <n v="3335.66"/>
    <n v="0"/>
    <n v="0"/>
    <n v="3335.66"/>
    <x v="3"/>
    <s v="Kunal Mehta"/>
    <x v="0"/>
    <n v="73"/>
    <n v="4"/>
    <x v="5"/>
    <n v="2935.3807999999999"/>
    <n v="46.9"/>
    <n v="2982.2808"/>
    <n v="353.37919999999986"/>
    <n v="353.37919999999986"/>
    <n v="0.10593981400982111"/>
    <n v="0"/>
    <n v="0"/>
    <s v="Profitable"/>
  </r>
  <r>
    <s v="ORD10020"/>
    <d v="2026-06-24T11:42:00"/>
    <s v="Shreya Gupta"/>
    <x v="3"/>
    <s v="Website"/>
    <x v="0"/>
    <n v="4"/>
    <n v="1172.53"/>
    <n v="0.15"/>
    <n v="0"/>
    <n v="0"/>
    <x v="1"/>
    <s v="Harpreet Singh"/>
    <x v="1"/>
    <m/>
    <m/>
    <x v="5"/>
    <n v="0"/>
    <n v="15"/>
    <n v="15"/>
    <n v="-15"/>
    <n v="0"/>
    <n v="0"/>
    <n v="15"/>
    <n v="1.2792849649902347E-2"/>
    <s v="Order Cancelled"/>
  </r>
  <r>
    <s v="ORD10168"/>
    <d v="2026-06-25T14:10:00"/>
    <s v="Arjun Iyer"/>
    <x v="2"/>
    <s v="Mobile App"/>
    <x v="0"/>
    <n v="4"/>
    <n v="303.23"/>
    <n v="0"/>
    <n v="59"/>
    <n v="362.23"/>
    <x v="0"/>
    <s v="Lalita Rout"/>
    <x v="0"/>
    <n v="79"/>
    <n v="3"/>
    <x v="5"/>
    <n v="236.51940000000002"/>
    <n v="48.7"/>
    <n v="285.21940000000001"/>
    <n v="77.010600000000011"/>
    <n v="77.010600000000011"/>
    <n v="0.25396761534148998"/>
    <n v="0"/>
    <n v="0"/>
    <s v="Profitable"/>
  </r>
  <r>
    <s v="ORD10114"/>
    <d v="2026-06-27T22:31:00"/>
    <s v="Nikhil Patel"/>
    <x v="1"/>
    <s v="Mobile App"/>
    <x v="0"/>
    <n v="1"/>
    <n v="624.64"/>
    <n v="0.15"/>
    <n v="59"/>
    <n v="589.94399999999996"/>
    <x v="3"/>
    <s v="Lalita Rout"/>
    <x v="0"/>
    <n v="58"/>
    <n v="5"/>
    <x v="5"/>
    <n v="487.2192"/>
    <n v="42.4"/>
    <n v="529.61919999999998"/>
    <n v="60.324799999999982"/>
    <n v="60.324799999999982"/>
    <n v="9.6575307377049155E-2"/>
    <n v="0"/>
    <n v="0"/>
    <s v="Profitable"/>
  </r>
  <r>
    <s v="ORD10218"/>
    <d v="2026-06-28T13:58:00"/>
    <s v="Meera Menon"/>
    <x v="7"/>
    <s v="Website"/>
    <x v="1"/>
    <n v="3"/>
    <n v="858.05"/>
    <n v="0.1"/>
    <n v="39"/>
    <n v="811.245"/>
    <x v="1"/>
    <s v="Jyoti Panda"/>
    <x v="0"/>
    <n v="81"/>
    <n v="5"/>
    <x v="5"/>
    <n v="386.1225"/>
    <n v="49.3"/>
    <n v="435.42250000000001"/>
    <n v="375.82249999999999"/>
    <n v="375.82249999999999"/>
    <n v="0.43799603752695065"/>
    <n v="0"/>
    <n v="0"/>
    <s v="Profitable"/>
  </r>
  <r>
    <s v="ORD10151"/>
    <d v="2026-06-28T14:26:00"/>
    <s v="Pooja Chatterjee"/>
    <x v="6"/>
    <s v="Mobile App"/>
    <x v="0"/>
    <n v="5"/>
    <n v="647.19000000000005"/>
    <n v="0.2"/>
    <n v="39"/>
    <n v="556.75200000000007"/>
    <x v="0"/>
    <s v="Ramesh Yadav"/>
    <x v="0"/>
    <n v="36"/>
    <n v="4"/>
    <x v="5"/>
    <n v="504.80820000000006"/>
    <n v="35.799999999999997"/>
    <n v="540.60820000000001"/>
    <n v="16.143800000000056"/>
    <n v="16.143800000000056"/>
    <n v="2.4944452170151045E-2"/>
    <n v="0"/>
    <n v="0"/>
    <s v="Profitable"/>
  </r>
  <r>
    <s v="ORD10107"/>
    <d v="2026-06-28T15:40:00"/>
    <s v="Tara Singh"/>
    <x v="6"/>
    <s v="Mobile App"/>
    <x v="0"/>
    <n v="6"/>
    <n v="965"/>
    <n v="0.05"/>
    <n v="29"/>
    <n v="945.75"/>
    <x v="0"/>
    <s v="Kunal Mehta"/>
    <x v="0"/>
    <n v="43"/>
    <n v="3"/>
    <x v="5"/>
    <n v="752.7"/>
    <n v="37.9"/>
    <n v="790.6"/>
    <n v="155.14999999999998"/>
    <n v="155.14999999999998"/>
    <n v="0.16077720207253884"/>
    <n v="0"/>
    <n v="0"/>
    <s v="Profitable"/>
  </r>
  <r>
    <s v="ORD10038"/>
    <d v="2026-06-28T20:19:00"/>
    <s v="Aditi Joshi"/>
    <x v="4"/>
    <s v="Mobile App"/>
    <x v="2"/>
    <n v="1"/>
    <n v="1210.6400000000001"/>
    <n v="0.1"/>
    <n v="0"/>
    <n v="1089.576"/>
    <x v="3"/>
    <s v="Lalita Rout"/>
    <x v="0"/>
    <n v="72"/>
    <n v="5"/>
    <x v="5"/>
    <n v="847.44799999999998"/>
    <n v="46.599999999999994"/>
    <n v="894.048"/>
    <n v="195.52800000000002"/>
    <n v="195.52800000000002"/>
    <n v="0.16150796273045662"/>
    <n v="0"/>
    <n v="0"/>
    <s v="Profitable"/>
  </r>
  <r>
    <s v="ORD10103"/>
    <d v="2026-06-30T15:28:00"/>
    <s v="Isha Verma"/>
    <x v="0"/>
    <s v="Website"/>
    <x v="1"/>
    <n v="1"/>
    <n v="304.74"/>
    <n v="0.2"/>
    <n v="39"/>
    <n v="282.79200000000003"/>
    <x v="2"/>
    <s v="Jyoti Panda"/>
    <x v="0"/>
    <n v="54"/>
    <n v="3"/>
    <x v="5"/>
    <n v="137.13300000000001"/>
    <n v="41.2"/>
    <n v="178.33300000000003"/>
    <n v="104.459"/>
    <n v="104.459"/>
    <n v="0.34278073111504892"/>
    <n v="0"/>
    <n v="0"/>
    <s v="Profitabl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9EADA22-C752-45FE-8442-1DBFF273AFE3}" name="PT_KPI"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E26" firstHeaderRow="0" firstDataRow="1" firstDataCol="0"/>
  <pivotFields count="26">
    <pivotField dataField="1" showAll="0"/>
    <pivotField numFmtId="168" showAll="0"/>
    <pivotField showAll="0"/>
    <pivotField showAll="0">
      <items count="9">
        <item x="3"/>
        <item x="7"/>
        <item x="1"/>
        <item x="4"/>
        <item x="0"/>
        <item x="2"/>
        <item x="6"/>
        <item x="5"/>
        <item t="default"/>
      </items>
    </pivotField>
    <pivotField showAll="0"/>
    <pivotField showAll="0"/>
    <pivotField showAll="0"/>
    <pivotField numFmtId="167" showAll="0"/>
    <pivotField numFmtId="9" showAll="0"/>
    <pivotField numFmtId="167" showAll="0"/>
    <pivotField dataField="1" numFmtId="169" showAll="0"/>
    <pivotField showAll="0"/>
    <pivotField showAll="0"/>
    <pivotField showAll="0"/>
    <pivotField dataField="1" showAll="0"/>
    <pivotField dataField="1" showAll="0"/>
    <pivotField showAll="0">
      <items count="7">
        <item x="3"/>
        <item x="1"/>
        <item x="0"/>
        <item x="5"/>
        <item x="2"/>
        <item x="4"/>
        <item t="default"/>
      </items>
    </pivotField>
    <pivotField numFmtId="167" showAll="0"/>
    <pivotField numFmtId="167" showAll="0"/>
    <pivotField numFmtId="167" showAll="0"/>
    <pivotField dataField="1" numFmtId="169" showAll="0"/>
    <pivotField numFmtId="169" showAll="0"/>
    <pivotField numFmtId="165" showAll="0"/>
    <pivotField numFmtId="169" showAll="0"/>
    <pivotField numFmtId="165" showAll="0"/>
    <pivotField showAll="0"/>
  </pivotFields>
  <rowItems count="1">
    <i/>
  </rowItems>
  <colFields count="1">
    <field x="-2"/>
  </colFields>
  <colItems count="5">
    <i>
      <x/>
    </i>
    <i i="1">
      <x v="1"/>
    </i>
    <i i="2">
      <x v="2"/>
    </i>
    <i i="3">
      <x v="3"/>
    </i>
    <i i="4">
      <x v="4"/>
    </i>
  </colItems>
  <dataFields count="5">
    <dataField name="Sum of Net Revenue" fld="10" baseField="0" baseItem="0" numFmtId="169"/>
    <dataField name="Sum of Net Profit" fld="20" baseField="0" baseItem="0" numFmtId="169"/>
    <dataField name="Count of Orders" fld="0" subtotal="count" baseField="0" baseItem="0" numFmtId="3"/>
    <dataField name="Average of Delivery Time" fld="14" subtotal="average" baseField="0" baseItem="0" numFmtId="2"/>
    <dataField name="Average of Rating" fld="15" subtotal="average" baseField="0" baseItem="0" numFmtId="2"/>
  </dataFields>
  <formats count="13">
    <format dxfId="53">
      <pivotArea outline="0" collapsedLevelsAreSubtotals="1" fieldPosition="0"/>
    </format>
    <format dxfId="52">
      <pivotArea outline="0" collapsedLevelsAreSubtotals="1" fieldPosition="0">
        <references count="1">
          <reference field="4294967294" count="1" selected="0">
            <x v="2"/>
          </reference>
        </references>
      </pivotArea>
    </format>
    <format dxfId="51">
      <pivotArea outline="0" collapsedLevelsAreSubtotals="1" fieldPosition="0">
        <references count="1">
          <reference field="4294967294" count="1" selected="0">
            <x v="3"/>
          </reference>
        </references>
      </pivotArea>
    </format>
    <format dxfId="50">
      <pivotArea outline="0" collapsedLevelsAreSubtotals="1" fieldPosition="0">
        <references count="1">
          <reference field="4294967294" count="1" selected="0">
            <x v="4"/>
          </reference>
        </references>
      </pivotArea>
    </format>
    <format dxfId="49">
      <pivotArea type="all" dataOnly="0" outline="0" fieldPosition="0"/>
    </format>
    <format dxfId="48">
      <pivotArea outline="0" collapsedLevelsAreSubtotals="1" fieldPosition="0"/>
    </format>
    <format dxfId="47">
      <pivotArea dataOnly="0" labelOnly="1" outline="0" fieldPosition="0">
        <references count="1">
          <reference field="4294967294" count="5">
            <x v="0"/>
            <x v="1"/>
            <x v="2"/>
            <x v="3"/>
            <x v="4"/>
          </reference>
        </references>
      </pivotArea>
    </format>
    <format dxfId="46">
      <pivotArea type="all" dataOnly="0" outline="0" fieldPosition="0"/>
    </format>
    <format dxfId="45">
      <pivotArea outline="0" collapsedLevelsAreSubtotals="1" fieldPosition="0"/>
    </format>
    <format dxfId="44">
      <pivotArea dataOnly="0" labelOnly="1" outline="0" fieldPosition="0">
        <references count="1">
          <reference field="4294967294" count="5">
            <x v="0"/>
            <x v="1"/>
            <x v="2"/>
            <x v="3"/>
            <x v="4"/>
          </reference>
        </references>
      </pivotArea>
    </format>
    <format dxfId="43">
      <pivotArea type="all" dataOnly="0" outline="0" fieldPosition="0"/>
    </format>
    <format dxfId="42">
      <pivotArea outline="0" collapsedLevelsAreSubtotals="1" fieldPosition="0"/>
    </format>
    <format dxfId="41">
      <pivotArea dataOnly="0" labelOnly="1" outline="0" fieldPosition="0">
        <references count="1">
          <reference field="4294967294" count="5">
            <x v="0"/>
            <x v="1"/>
            <x v="2"/>
            <x v="3"/>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AD1DE3-4674-418E-9B6B-8324B1CA86F3}" name="PT_MonthlyTrend"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10" firstHeaderRow="1" firstDataRow="1" firstDataCol="1"/>
  <pivotFields count="26">
    <pivotField compact="0" outline="0" showAll="0"/>
    <pivotField compact="0" numFmtId="168" outline="0" showAll="0"/>
    <pivotField compact="0" outline="0" showAll="0"/>
    <pivotField compact="0" outline="0" showAll="0">
      <items count="9">
        <item x="3"/>
        <item x="7"/>
        <item x="1"/>
        <item x="4"/>
        <item x="0"/>
        <item x="2"/>
        <item x="6"/>
        <item x="5"/>
        <item t="default"/>
      </items>
    </pivotField>
    <pivotField compact="0" outline="0" showAll="0"/>
    <pivotField compact="0" outline="0" showAll="0"/>
    <pivotField compact="0" outline="0" showAll="0"/>
    <pivotField compact="0" numFmtId="167" outline="0" showAll="0"/>
    <pivotField compact="0" numFmtId="9" outline="0" showAll="0"/>
    <pivotField compact="0" numFmtId="167" outline="0" showAll="0"/>
    <pivotField dataField="1" compact="0" numFmtId="169"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7">
        <item x="3"/>
        <item x="1"/>
        <item x="0"/>
        <item x="5"/>
        <item x="2"/>
        <item x="4"/>
        <item t="default"/>
      </items>
    </pivotField>
    <pivotField compact="0" numFmtId="167" outline="0" showAll="0"/>
    <pivotField compact="0" numFmtId="167" outline="0" showAll="0"/>
    <pivotField compact="0" numFmtId="167" outline="0" showAll="0"/>
    <pivotField compact="0" numFmtId="169" outline="0" showAll="0"/>
    <pivotField compact="0" numFmtId="169" outline="0" showAll="0"/>
    <pivotField compact="0" numFmtId="165" outline="0" showAll="0"/>
    <pivotField compact="0" numFmtId="169" outline="0" showAll="0"/>
    <pivotField compact="0" numFmtId="165" outline="0" showAll="0"/>
    <pivotField compact="0" outline="0" showAll="0"/>
  </pivotFields>
  <rowFields count="1">
    <field x="16"/>
  </rowFields>
  <rowItems count="7">
    <i>
      <x/>
    </i>
    <i>
      <x v="1"/>
    </i>
    <i>
      <x v="2"/>
    </i>
    <i>
      <x v="3"/>
    </i>
    <i>
      <x v="4"/>
    </i>
    <i>
      <x v="5"/>
    </i>
    <i t="grand">
      <x/>
    </i>
  </rowItems>
  <colItems count="1">
    <i/>
  </colItems>
  <dataFields count="1">
    <dataField name="Sum of Net Revenue" fld="10" baseField="0" baseItem="0" numFmtId="169"/>
  </dataFields>
  <formats count="18">
    <format dxfId="71">
      <pivotArea type="all" dataOnly="0" outline="0" fieldPosition="0"/>
    </format>
    <format dxfId="70">
      <pivotArea outline="0" collapsedLevelsAreSubtotals="1" fieldPosition="0"/>
    </format>
    <format dxfId="69">
      <pivotArea field="16" type="button" dataOnly="0" labelOnly="1" outline="0" axis="axisRow" fieldPosition="0"/>
    </format>
    <format dxfId="68">
      <pivotArea dataOnly="0" labelOnly="1" outline="0" fieldPosition="0">
        <references count="1">
          <reference field="16" count="0"/>
        </references>
      </pivotArea>
    </format>
    <format dxfId="67">
      <pivotArea dataOnly="0" labelOnly="1" grandRow="1" outline="0" fieldPosition="0"/>
    </format>
    <format dxfId="66">
      <pivotArea dataOnly="0" labelOnly="1" outline="0" axis="axisValues" fieldPosition="0"/>
    </format>
    <format dxfId="65">
      <pivotArea type="all" dataOnly="0" outline="0" fieldPosition="0"/>
    </format>
    <format dxfId="64">
      <pivotArea outline="0" collapsedLevelsAreSubtotals="1" fieldPosition="0"/>
    </format>
    <format dxfId="63">
      <pivotArea field="16" type="button" dataOnly="0" labelOnly="1" outline="0" axis="axisRow" fieldPosition="0"/>
    </format>
    <format dxfId="62">
      <pivotArea dataOnly="0" labelOnly="1" outline="0" fieldPosition="0">
        <references count="1">
          <reference field="16" count="0"/>
        </references>
      </pivotArea>
    </format>
    <format dxfId="61">
      <pivotArea dataOnly="0" labelOnly="1" grandRow="1" outline="0"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16" type="button" dataOnly="0" labelOnly="1" outline="0" axis="axisRow" fieldPosition="0"/>
    </format>
    <format dxfId="56">
      <pivotArea dataOnly="0" labelOnly="1" outline="0" fieldPosition="0">
        <references count="1">
          <reference field="16" count="0"/>
        </references>
      </pivotArea>
    </format>
    <format dxfId="55">
      <pivotArea dataOnly="0" labelOnly="1" grandRow="1" outline="0" fieldPosition="0"/>
    </format>
    <format dxfId="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374EAE-34C6-4D4F-AE7A-8C0F4CE06D6A}" name="PT_DeliveryStatu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H15:J19" firstHeaderRow="0" firstDataRow="1" firstDataCol="1"/>
  <pivotFields count="26">
    <pivotField dataField="1" compact="0" outline="0" showAll="0"/>
    <pivotField compact="0" numFmtId="168" outline="0" showAll="0"/>
    <pivotField compact="0" outline="0" showAll="0"/>
    <pivotField compact="0" outline="0" showAll="0">
      <items count="9">
        <item x="3"/>
        <item x="7"/>
        <item x="1"/>
        <item x="4"/>
        <item x="0"/>
        <item x="2"/>
        <item x="6"/>
        <item x="5"/>
        <item t="default"/>
      </items>
    </pivotField>
    <pivotField compact="0" outline="0" showAll="0"/>
    <pivotField compact="0" outline="0" showAll="0"/>
    <pivotField compact="0" outline="0" showAll="0"/>
    <pivotField compact="0" numFmtId="167" outline="0" showAll="0"/>
    <pivotField compact="0" numFmtId="9" outline="0" showAll="0"/>
    <pivotField compact="0" numFmtId="167" outline="0" showAll="0"/>
    <pivotField dataField="1" compact="0" numFmtId="169" outline="0" showAll="0"/>
    <pivotField compact="0" outline="0" showAll="0"/>
    <pivotField compact="0" outline="0" showAll="0"/>
    <pivotField axis="axisRow" compact="0" outline="0" showAll="0">
      <items count="4">
        <item x="1"/>
        <item x="0"/>
        <item x="2"/>
        <item t="default"/>
      </items>
    </pivotField>
    <pivotField compact="0" outline="0" showAll="0"/>
    <pivotField compact="0" outline="0" showAll="0"/>
    <pivotField compact="0" outline="0" showAll="0">
      <items count="7">
        <item x="3"/>
        <item x="1"/>
        <item x="0"/>
        <item x="5"/>
        <item x="2"/>
        <item x="4"/>
        <item t="default"/>
      </items>
    </pivotField>
    <pivotField compact="0" numFmtId="167" outline="0" showAll="0"/>
    <pivotField compact="0" numFmtId="167" outline="0" showAll="0"/>
    <pivotField compact="0" numFmtId="167" outline="0" showAll="0"/>
    <pivotField compact="0" numFmtId="169" outline="0" showAll="0"/>
    <pivotField compact="0" numFmtId="169" outline="0" showAll="0"/>
    <pivotField compact="0" numFmtId="165" outline="0" showAll="0"/>
    <pivotField compact="0" numFmtId="169" outline="0" showAll="0"/>
    <pivotField compact="0" numFmtId="165" outline="0" showAll="0"/>
    <pivotField compact="0" outline="0" showAll="0"/>
  </pivotFields>
  <rowFields count="1">
    <field x="13"/>
  </rowFields>
  <rowItems count="4">
    <i>
      <x/>
    </i>
    <i>
      <x v="1"/>
    </i>
    <i>
      <x v="2"/>
    </i>
    <i t="grand">
      <x/>
    </i>
  </rowItems>
  <colFields count="1">
    <field x="-2"/>
  </colFields>
  <colItems count="2">
    <i>
      <x/>
    </i>
    <i i="1">
      <x v="1"/>
    </i>
  </colItems>
  <dataFields count="2">
    <dataField name="Sum of Net Revenue" fld="10" baseField="0" baseItem="0" numFmtId="169"/>
    <dataField name="Count of Order ID" fld="0" subtotal="count" baseField="0" baseItem="0"/>
  </dataFields>
  <formats count="7">
    <format dxfId="78">
      <pivotArea outline="0" fieldPosition="0">
        <references count="2">
          <reference field="4294967294" count="1" selected="0">
            <x v="1"/>
          </reference>
          <reference field="13" count="0" selected="0"/>
        </references>
      </pivotArea>
    </format>
    <format dxfId="77">
      <pivotArea type="all" dataOnly="0" outline="0" fieldPosition="0"/>
    </format>
    <format dxfId="76">
      <pivotArea outline="0" collapsedLevelsAreSubtotals="1" fieldPosition="0"/>
    </format>
    <format dxfId="75">
      <pivotArea field="13" type="button" dataOnly="0" labelOnly="1" outline="0" axis="axisRow" fieldPosition="0"/>
    </format>
    <format dxfId="74">
      <pivotArea dataOnly="0" labelOnly="1" outline="0" fieldPosition="0">
        <references count="1">
          <reference field="13" count="0"/>
        </references>
      </pivotArea>
    </format>
    <format dxfId="73">
      <pivotArea dataOnly="0" labelOnly="1" grandRow="1" outline="0" fieldPosition="0"/>
    </format>
    <format dxfId="7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82A6BCE-0D85-484A-B722-2C66505DF357}" name="PT_RevenueByCit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12" firstHeaderRow="1" firstDataRow="1" firstDataCol="1"/>
  <pivotFields count="26">
    <pivotField compact="0" outline="0" showAll="0"/>
    <pivotField compact="0" numFmtId="168" outline="0" showAll="0"/>
    <pivotField compact="0" outline="0" showAll="0"/>
    <pivotField axis="axisRow" compact="0" outline="0" showAll="0">
      <items count="9">
        <item x="3"/>
        <item x="7"/>
        <item x="1"/>
        <item x="4"/>
        <item x="0"/>
        <item x="2"/>
        <item x="6"/>
        <item x="5"/>
        <item t="default"/>
      </items>
    </pivotField>
    <pivotField compact="0" outline="0" showAll="0"/>
    <pivotField compact="0" outline="0" showAll="0"/>
    <pivotField compact="0" outline="0" showAll="0"/>
    <pivotField compact="0" numFmtId="167" outline="0" showAll="0"/>
    <pivotField compact="0" numFmtId="9" outline="0" showAll="0"/>
    <pivotField compact="0" numFmtId="167" outline="0" showAll="0"/>
    <pivotField dataField="1" compact="0" numFmtId="169" outline="0" showAll="0"/>
    <pivotField compact="0" outline="0" showAll="0"/>
    <pivotField compact="0" outline="0" showAll="0"/>
    <pivotField compact="0" outline="0" showAll="0"/>
    <pivotField compact="0" outline="0" showAll="0"/>
    <pivotField compact="0" outline="0" showAll="0"/>
    <pivotField compact="0" outline="0" showAll="0">
      <items count="7">
        <item x="3"/>
        <item x="1"/>
        <item x="0"/>
        <item x="5"/>
        <item x="2"/>
        <item x="4"/>
        <item t="default"/>
      </items>
    </pivotField>
    <pivotField compact="0" numFmtId="167" outline="0" showAll="0"/>
    <pivotField compact="0" numFmtId="167" outline="0" showAll="0"/>
    <pivotField compact="0" numFmtId="167" outline="0" showAll="0"/>
    <pivotField compact="0" numFmtId="169" outline="0" showAll="0"/>
    <pivotField compact="0" numFmtId="169" outline="0" showAll="0"/>
    <pivotField compact="0" numFmtId="165" outline="0" showAll="0"/>
    <pivotField compact="0" numFmtId="169" outline="0" showAll="0"/>
    <pivotField compact="0" numFmtId="165" outline="0" showAll="0"/>
    <pivotField compact="0" outline="0" showAll="0"/>
  </pivotFields>
  <rowFields count="1">
    <field x="3"/>
  </rowFields>
  <rowItems count="9">
    <i>
      <x/>
    </i>
    <i>
      <x v="1"/>
    </i>
    <i>
      <x v="2"/>
    </i>
    <i>
      <x v="3"/>
    </i>
    <i>
      <x v="4"/>
    </i>
    <i>
      <x v="5"/>
    </i>
    <i>
      <x v="6"/>
    </i>
    <i>
      <x v="7"/>
    </i>
    <i t="grand">
      <x/>
    </i>
  </rowItems>
  <colItems count="1">
    <i/>
  </colItems>
  <dataFields count="1">
    <dataField name="Sum of Net Revenue" fld="10" baseField="0" baseItem="0" numFmtId="169"/>
  </dataFields>
  <formats count="18">
    <format dxfId="96">
      <pivotArea type="all" dataOnly="0" outline="0" fieldPosition="0"/>
    </format>
    <format dxfId="95">
      <pivotArea outline="0" collapsedLevelsAreSubtotals="1" fieldPosition="0"/>
    </format>
    <format dxfId="94">
      <pivotArea field="3" type="button" dataOnly="0" labelOnly="1" outline="0" axis="axisRow" fieldPosition="0"/>
    </format>
    <format dxfId="93">
      <pivotArea dataOnly="0" labelOnly="1" outline="0" fieldPosition="0">
        <references count="1">
          <reference field="3" count="0"/>
        </references>
      </pivotArea>
    </format>
    <format dxfId="92">
      <pivotArea dataOnly="0" labelOnly="1" grandRow="1" outline="0" fieldPosition="0"/>
    </format>
    <format dxfId="91">
      <pivotArea dataOnly="0" labelOnly="1" outline="0" axis="axisValues" fieldPosition="0"/>
    </format>
    <format dxfId="90">
      <pivotArea type="all" dataOnly="0" outline="0" fieldPosition="0"/>
    </format>
    <format dxfId="89">
      <pivotArea outline="0" collapsedLevelsAreSubtotals="1" fieldPosition="0"/>
    </format>
    <format dxfId="88">
      <pivotArea field="3" type="button" dataOnly="0" labelOnly="1" outline="0" axis="axisRow" fieldPosition="0"/>
    </format>
    <format dxfId="87">
      <pivotArea dataOnly="0" labelOnly="1" outline="0" fieldPosition="0">
        <references count="1">
          <reference field="3" count="0"/>
        </references>
      </pivotArea>
    </format>
    <format dxfId="86">
      <pivotArea dataOnly="0" labelOnly="1" grandRow="1" outline="0" fieldPosition="0"/>
    </format>
    <format dxfId="85">
      <pivotArea dataOnly="0" labelOnly="1" outline="0" axis="axisValues" fieldPosition="0"/>
    </format>
    <format dxfId="84">
      <pivotArea type="all" dataOnly="0" outline="0" fieldPosition="0"/>
    </format>
    <format dxfId="83">
      <pivotArea outline="0" collapsedLevelsAreSubtotals="1" fieldPosition="0"/>
    </format>
    <format dxfId="82">
      <pivotArea field="3" type="button" dataOnly="0" labelOnly="1" outline="0" axis="axisRow" fieldPosition="0"/>
    </format>
    <format dxfId="81">
      <pivotArea dataOnly="0" labelOnly="1" outline="0" fieldPosition="0">
        <references count="1">
          <reference field="3" count="0"/>
        </references>
      </pivotArea>
    </format>
    <format dxfId="80">
      <pivotArea dataOnly="0" labelOnly="1" grandRow="1" outline="0" fieldPosition="0"/>
    </format>
    <format dxfId="7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3A67EF0-1EA1-4C9D-81EE-6ED774E6E005}" name="PT_ProfitVsLos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5:F22" firstHeaderRow="0" firstDataRow="1" firstDataCol="1"/>
  <pivotFields count="26">
    <pivotField compact="0" outline="0" showAll="0"/>
    <pivotField compact="0" numFmtId="168" outline="0" showAll="0"/>
    <pivotField compact="0" outline="0" showAll="0"/>
    <pivotField compact="0" outline="0" showAll="0">
      <items count="9">
        <item x="3"/>
        <item x="7"/>
        <item x="1"/>
        <item x="4"/>
        <item x="0"/>
        <item x="2"/>
        <item x="6"/>
        <item x="5"/>
        <item t="default"/>
      </items>
    </pivotField>
    <pivotField compact="0" outline="0" showAll="0"/>
    <pivotField compact="0" outline="0" showAll="0"/>
    <pivotField compact="0" outline="0" showAll="0"/>
    <pivotField compact="0" numFmtId="167" outline="0" showAll="0"/>
    <pivotField compact="0" numFmtId="9" outline="0" showAll="0"/>
    <pivotField compact="0" numFmtId="167" outline="0" showAll="0"/>
    <pivotField compact="0" numFmtId="169" outline="0" showAll="0"/>
    <pivotField compact="0" outline="0" showAll="0"/>
    <pivotField compact="0" outline="0" showAll="0"/>
    <pivotField compact="0" outline="0" showAll="0"/>
    <pivotField compact="0" outline="0" showAll="0"/>
    <pivotField compact="0" outline="0" showAll="0"/>
    <pivotField axis="axisRow" compact="0" outline="0" showAll="0" sortType="ascending">
      <items count="7">
        <item x="3"/>
        <item x="1"/>
        <item x="0"/>
        <item x="5"/>
        <item x="2"/>
        <item x="4"/>
        <item t="default"/>
      </items>
    </pivotField>
    <pivotField compact="0" numFmtId="167" outline="0" showAll="0"/>
    <pivotField compact="0" numFmtId="167" outline="0" showAll="0"/>
    <pivotField compact="0" numFmtId="167" outline="0" showAll="0"/>
    <pivotField compact="0" numFmtId="169" outline="0" showAll="0"/>
    <pivotField dataField="1" compact="0" numFmtId="169" outline="0" showAll="0"/>
    <pivotField compact="0" numFmtId="165" outline="0" showAll="0"/>
    <pivotField dataField="1" compact="0" numFmtId="169" outline="0" showAll="0"/>
    <pivotField compact="0" numFmtId="165" outline="0" showAll="0"/>
    <pivotField compact="0" outline="0" showAll="0"/>
  </pivotFields>
  <rowFields count="1">
    <field x="16"/>
  </rowFields>
  <rowItems count="7">
    <i>
      <x/>
    </i>
    <i>
      <x v="1"/>
    </i>
    <i>
      <x v="2"/>
    </i>
    <i>
      <x v="3"/>
    </i>
    <i>
      <x v="4"/>
    </i>
    <i>
      <x v="5"/>
    </i>
    <i t="grand">
      <x/>
    </i>
  </rowItems>
  <colFields count="1">
    <field x="-2"/>
  </colFields>
  <colItems count="2">
    <i>
      <x/>
    </i>
    <i i="1">
      <x v="1"/>
    </i>
  </colItems>
  <dataFields count="2">
    <dataField name="Total Profit" fld="21" baseField="0" baseItem="0" numFmtId="169"/>
    <dataField name="Total Loss" fld="23" baseField="0" baseItem="0" numFmtId="169"/>
  </dataFields>
  <formats count="18">
    <format dxfId="114">
      <pivotArea type="all" dataOnly="0" outline="0" fieldPosition="0"/>
    </format>
    <format dxfId="113">
      <pivotArea outline="0" collapsedLevelsAreSubtotals="1" fieldPosition="0"/>
    </format>
    <format dxfId="112">
      <pivotArea field="16" type="button" dataOnly="0" labelOnly="1" outline="0" axis="axisRow" fieldPosition="0"/>
    </format>
    <format dxfId="111">
      <pivotArea dataOnly="0" labelOnly="1" outline="0" fieldPosition="0">
        <references count="1">
          <reference field="16" count="0"/>
        </references>
      </pivotArea>
    </format>
    <format dxfId="110">
      <pivotArea dataOnly="0" labelOnly="1" grandRow="1" outline="0" fieldPosition="0"/>
    </format>
    <format dxfId="109">
      <pivotArea dataOnly="0" labelOnly="1" outline="0" fieldPosition="0">
        <references count="1">
          <reference field="4294967294" count="2">
            <x v="0"/>
            <x v="1"/>
          </reference>
        </references>
      </pivotArea>
    </format>
    <format dxfId="108">
      <pivotArea type="all" dataOnly="0" outline="0" fieldPosition="0"/>
    </format>
    <format dxfId="107">
      <pivotArea outline="0" collapsedLevelsAreSubtotals="1" fieldPosition="0"/>
    </format>
    <format dxfId="106">
      <pivotArea field="16" type="button" dataOnly="0" labelOnly="1" outline="0" axis="axisRow" fieldPosition="0"/>
    </format>
    <format dxfId="105">
      <pivotArea dataOnly="0" labelOnly="1" outline="0" fieldPosition="0">
        <references count="1">
          <reference field="16" count="0"/>
        </references>
      </pivotArea>
    </format>
    <format dxfId="104">
      <pivotArea dataOnly="0" labelOnly="1" grandRow="1" outline="0" fieldPosition="0"/>
    </format>
    <format dxfId="103">
      <pivotArea dataOnly="0" labelOnly="1" outline="0" fieldPosition="0">
        <references count="1">
          <reference field="4294967294" count="2">
            <x v="0"/>
            <x v="1"/>
          </reference>
        </references>
      </pivotArea>
    </format>
    <format dxfId="102">
      <pivotArea type="all" dataOnly="0" outline="0" fieldPosition="0"/>
    </format>
    <format dxfId="101">
      <pivotArea outline="0" collapsedLevelsAreSubtotals="1" fieldPosition="0"/>
    </format>
    <format dxfId="100">
      <pivotArea field="16" type="button" dataOnly="0" labelOnly="1" outline="0" axis="axisRow" fieldPosition="0"/>
    </format>
    <format dxfId="99">
      <pivotArea dataOnly="0" labelOnly="1" outline="0" fieldPosition="0">
        <references count="1">
          <reference field="16" count="0"/>
        </references>
      </pivotArea>
    </format>
    <format dxfId="98">
      <pivotArea dataOnly="0" labelOnly="1" grandRow="1" outline="0" fieldPosition="0"/>
    </format>
    <format dxfId="97">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D62B72-AA6C-4115-AB87-30E10A6A685A}" name="PT_RevenueByCatego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10" firstHeaderRow="1" firstDataRow="1" firstDataCol="1"/>
  <pivotFields count="26">
    <pivotField compact="0" outline="0" showAll="0"/>
    <pivotField compact="0" numFmtId="168" outline="0" showAll="0"/>
    <pivotField compact="0" outline="0" showAll="0"/>
    <pivotField compact="0" outline="0" showAll="0">
      <items count="9">
        <item x="3"/>
        <item x="7"/>
        <item x="1"/>
        <item x="4"/>
        <item x="0"/>
        <item x="2"/>
        <item x="6"/>
        <item x="5"/>
        <item t="default"/>
      </items>
    </pivotField>
    <pivotField compact="0" outline="0" showAll="0"/>
    <pivotField axis="axisRow" compact="0" outline="0" showAll="0">
      <items count="7">
        <item x="4"/>
        <item x="3"/>
        <item x="1"/>
        <item x="0"/>
        <item x="5"/>
        <item x="2"/>
        <item t="default"/>
      </items>
    </pivotField>
    <pivotField compact="0" outline="0" showAll="0"/>
    <pivotField compact="0" numFmtId="167" outline="0" showAll="0"/>
    <pivotField compact="0" numFmtId="9" outline="0" showAll="0"/>
    <pivotField compact="0" numFmtId="167" outline="0" showAll="0"/>
    <pivotField dataField="1" compact="0" numFmtId="169" outline="0" showAll="0"/>
    <pivotField compact="0" outline="0" showAll="0"/>
    <pivotField compact="0" outline="0" showAll="0"/>
    <pivotField compact="0" outline="0" showAll="0"/>
    <pivotField compact="0" outline="0" showAll="0"/>
    <pivotField compact="0" outline="0" showAll="0"/>
    <pivotField compact="0" outline="0" showAll="0">
      <items count="7">
        <item x="3"/>
        <item x="1"/>
        <item x="0"/>
        <item x="5"/>
        <item x="2"/>
        <item x="4"/>
        <item t="default"/>
      </items>
    </pivotField>
    <pivotField compact="0" numFmtId="167" outline="0" showAll="0"/>
    <pivotField compact="0" numFmtId="167" outline="0" showAll="0"/>
    <pivotField compact="0" numFmtId="167" outline="0" showAll="0"/>
    <pivotField compact="0" numFmtId="169" outline="0" showAll="0"/>
    <pivotField compact="0" numFmtId="169" outline="0" showAll="0"/>
    <pivotField compact="0" numFmtId="165" outline="0" showAll="0"/>
    <pivotField compact="0" numFmtId="169" outline="0" showAll="0"/>
    <pivotField compact="0" numFmtId="165" outline="0" showAll="0"/>
    <pivotField compact="0" outline="0" showAll="0"/>
  </pivotFields>
  <rowFields count="1">
    <field x="5"/>
  </rowFields>
  <rowItems count="7">
    <i>
      <x/>
    </i>
    <i>
      <x v="1"/>
    </i>
    <i>
      <x v="2"/>
    </i>
    <i>
      <x v="3"/>
    </i>
    <i>
      <x v="4"/>
    </i>
    <i>
      <x v="5"/>
    </i>
    <i t="grand">
      <x/>
    </i>
  </rowItems>
  <colItems count="1">
    <i/>
  </colItems>
  <dataFields count="1">
    <dataField name="Sum of Net Revenue" fld="10" baseField="0" baseItem="0" numFmtId="169"/>
  </dataFields>
  <formats count="18">
    <format dxfId="132">
      <pivotArea type="all" dataOnly="0" outline="0" fieldPosition="0"/>
    </format>
    <format dxfId="131">
      <pivotArea outline="0" collapsedLevelsAreSubtotals="1" fieldPosition="0"/>
    </format>
    <format dxfId="130">
      <pivotArea field="5" type="button" dataOnly="0" labelOnly="1" outline="0" axis="axisRow" fieldPosition="0"/>
    </format>
    <format dxfId="129">
      <pivotArea dataOnly="0" labelOnly="1" outline="0" fieldPosition="0">
        <references count="1">
          <reference field="5" count="0"/>
        </references>
      </pivotArea>
    </format>
    <format dxfId="128">
      <pivotArea dataOnly="0" labelOnly="1" grandRow="1" outline="0"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5" type="button" dataOnly="0" labelOnly="1" outline="0" axis="axisRow" fieldPosition="0"/>
    </format>
    <format dxfId="123">
      <pivotArea dataOnly="0" labelOnly="1" outline="0" fieldPosition="0">
        <references count="1">
          <reference field="5" count="0"/>
        </references>
      </pivotArea>
    </format>
    <format dxfId="122">
      <pivotArea dataOnly="0" labelOnly="1" grandRow="1" outline="0" fieldPosition="0"/>
    </format>
    <format dxfId="121">
      <pivotArea dataOnly="0" labelOnly="1" outline="0" axis="axisValues" fieldPosition="0"/>
    </format>
    <format dxfId="120">
      <pivotArea type="all" dataOnly="0" outline="0" fieldPosition="0"/>
    </format>
    <format dxfId="119">
      <pivotArea outline="0" collapsedLevelsAreSubtotals="1" fieldPosition="0"/>
    </format>
    <format dxfId="118">
      <pivotArea field="5" type="button" dataOnly="0" labelOnly="1" outline="0" axis="axisRow" fieldPosition="0"/>
    </format>
    <format dxfId="117">
      <pivotArea dataOnly="0" labelOnly="1" outline="0" fieldPosition="0">
        <references count="1">
          <reference field="5" count="0"/>
        </references>
      </pivotArea>
    </format>
    <format dxfId="116">
      <pivotArea dataOnly="0" labelOnly="1" grandRow="1" outline="0" fieldPosition="0"/>
    </format>
    <format dxfId="1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AF64D4-B981-405A-A2A4-4D8B2E3F92F4}" name="PT_PaymentMethod"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5:B20" firstHeaderRow="1" firstDataRow="1" firstDataCol="1"/>
  <pivotFields count="26">
    <pivotField compact="0" outline="0" showAll="0"/>
    <pivotField compact="0" numFmtId="168" outline="0" showAll="0"/>
    <pivotField compact="0" outline="0" showAll="0"/>
    <pivotField compact="0" outline="0" showAll="0">
      <items count="9">
        <item x="3"/>
        <item x="7"/>
        <item x="1"/>
        <item x="4"/>
        <item x="0"/>
        <item x="2"/>
        <item x="6"/>
        <item x="5"/>
        <item t="default"/>
      </items>
    </pivotField>
    <pivotField compact="0" outline="0" showAll="0"/>
    <pivotField compact="0" outline="0" showAll="0"/>
    <pivotField compact="0" outline="0" showAll="0"/>
    <pivotField compact="0" numFmtId="167" outline="0" showAll="0"/>
    <pivotField compact="0" numFmtId="9" outline="0" showAll="0"/>
    <pivotField compact="0" numFmtId="167" outline="0" showAll="0"/>
    <pivotField dataField="1" compact="0" numFmtId="169" outline="0" showAll="0"/>
    <pivotField axis="axisRow" compact="0" outline="0" showAll="0">
      <items count="5">
        <item x="0"/>
        <item x="1"/>
        <item x="2"/>
        <item x="3"/>
        <item t="default"/>
      </items>
    </pivotField>
    <pivotField compact="0" outline="0" showAll="0"/>
    <pivotField compact="0" outline="0" showAll="0"/>
    <pivotField compact="0" outline="0" showAll="0"/>
    <pivotField compact="0" outline="0" showAll="0"/>
    <pivotField compact="0" outline="0" showAll="0">
      <items count="7">
        <item x="3"/>
        <item x="1"/>
        <item x="0"/>
        <item x="5"/>
        <item x="2"/>
        <item x="4"/>
        <item t="default"/>
      </items>
    </pivotField>
    <pivotField compact="0" numFmtId="167" outline="0" showAll="0"/>
    <pivotField compact="0" numFmtId="167" outline="0" showAll="0"/>
    <pivotField compact="0" numFmtId="167" outline="0" showAll="0"/>
    <pivotField compact="0" numFmtId="169" outline="0" showAll="0"/>
    <pivotField compact="0" numFmtId="169" outline="0" showAll="0"/>
    <pivotField compact="0" numFmtId="165" outline="0" showAll="0"/>
    <pivotField compact="0" numFmtId="169" outline="0" showAll="0"/>
    <pivotField compact="0" numFmtId="165" outline="0" showAll="0"/>
    <pivotField compact="0" outline="0" showAll="0"/>
  </pivotFields>
  <rowFields count="1">
    <field x="11"/>
  </rowFields>
  <rowItems count="5">
    <i>
      <x/>
    </i>
    <i>
      <x v="1"/>
    </i>
    <i>
      <x v="2"/>
    </i>
    <i>
      <x v="3"/>
    </i>
    <i t="grand">
      <x/>
    </i>
  </rowItems>
  <colItems count="1">
    <i/>
  </colItems>
  <dataFields count="1">
    <dataField name="Sum of Net Revenue" fld="10" baseField="0" baseItem="0" numFmtId="169"/>
  </dataFields>
  <formats count="18">
    <format dxfId="150">
      <pivotArea type="all" dataOnly="0" outline="0" fieldPosition="0"/>
    </format>
    <format dxfId="149">
      <pivotArea outline="0" collapsedLevelsAreSubtotals="1" fieldPosition="0"/>
    </format>
    <format dxfId="148">
      <pivotArea field="11" type="button" dataOnly="0" labelOnly="1" outline="0" axis="axisRow" fieldPosition="0"/>
    </format>
    <format dxfId="147">
      <pivotArea dataOnly="0" labelOnly="1" outline="0" fieldPosition="0">
        <references count="1">
          <reference field="11" count="0"/>
        </references>
      </pivotArea>
    </format>
    <format dxfId="146">
      <pivotArea dataOnly="0" labelOnly="1" grandRow="1" outline="0" fieldPosition="0"/>
    </format>
    <format dxfId="145">
      <pivotArea dataOnly="0" labelOnly="1" outline="0" axis="axisValues" fieldPosition="0"/>
    </format>
    <format dxfId="144">
      <pivotArea type="all" dataOnly="0" outline="0" fieldPosition="0"/>
    </format>
    <format dxfId="143">
      <pivotArea outline="0" collapsedLevelsAreSubtotals="1" fieldPosition="0"/>
    </format>
    <format dxfId="142">
      <pivotArea field="11" type="button" dataOnly="0" labelOnly="1" outline="0" axis="axisRow" fieldPosition="0"/>
    </format>
    <format dxfId="141">
      <pivotArea dataOnly="0" labelOnly="1" outline="0" fieldPosition="0">
        <references count="1">
          <reference field="11" count="0"/>
        </references>
      </pivotArea>
    </format>
    <format dxfId="140">
      <pivotArea dataOnly="0" labelOnly="1" grandRow="1" outline="0" fieldPosition="0"/>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11" type="button" dataOnly="0" labelOnly="1" outline="0" axis="axisRow" fieldPosition="0"/>
    </format>
    <format dxfId="135">
      <pivotArea dataOnly="0" labelOnly="1" outline="0" fieldPosition="0">
        <references count="1">
          <reference field="11" count="0"/>
        </references>
      </pivotArea>
    </format>
    <format dxfId="134">
      <pivotArea dataOnly="0" labelOnly="1" grandRow="1" outline="0" fieldPosition="0"/>
    </format>
    <format dxfId="13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BC78655-2551-4A5F-AB2D-9F70F2E55DED}" sourceName="Month">
  <pivotTables>
    <pivotTable tabId="8" name="PT_RevenueByCategory"/>
    <pivotTable tabId="8" name="PT_RevenueByCity"/>
    <pivotTable tabId="8" name="PT_MonthlyTrend"/>
    <pivotTable tabId="8" name="PT_DeliveryStatus"/>
    <pivotTable tabId="8" name="PT_KPI"/>
    <pivotTable tabId="8" name="PT_PaymentMethod"/>
    <pivotTable tabId="8" name="PT_ProfitVsLoss"/>
  </pivotTables>
  <data>
    <tabular pivotCacheId="1403111003">
      <items count="6">
        <i x="3" s="1"/>
        <i x="1" s="1"/>
        <i x="0" s="1"/>
        <i x="5"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E34D4B4-33A5-4181-8CDC-A518B78F2965}" sourceName="City">
  <pivotTables>
    <pivotTable tabId="8" name="PT_RevenueByCategory"/>
    <pivotTable tabId="8" name="PT_RevenueByCity"/>
    <pivotTable tabId="8" name="PT_MonthlyTrend"/>
    <pivotTable tabId="8" name="PT_DeliveryStatus"/>
    <pivotTable tabId="8" name="PT_KPI"/>
    <pivotTable tabId="8" name="PT_PaymentMethod"/>
    <pivotTable tabId="8" name="PT_ProfitVsLoss"/>
  </pivotTables>
  <data>
    <tabular pivotCacheId="1403111003">
      <items count="8">
        <i x="3" s="1"/>
        <i x="7" s="1"/>
        <i x="1" s="1"/>
        <i x="4" s="1"/>
        <i x="0" s="1"/>
        <i x="2" s="1"/>
        <i x="6"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897E883E-BB6F-470C-97C1-CFE9310DC19A}" cache="Slicer_Month" caption="Month" columnCount="3" style="SlicerStyleLight2" rowHeight="234950"/>
  <slicer name="City" xr10:uid="{ED34196C-DAFB-40DC-990D-F2F765C14C6B}" cache="Slicer_City" caption="City" columnCount="4"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RidersTable" displayName="RidersTable" ref="A1:L21" totalsRowShown="0">
  <autoFilter ref="A1:L21" xr:uid="{00000000-0009-0000-0100-000002000000}"/>
  <tableColumns count="12">
    <tableColumn id="1" xr3:uid="{00000000-0010-0000-0100-000001000000}" name="Rider ID"/>
    <tableColumn id="2" xr3:uid="{00000000-0010-0000-0100-000002000000}" name="Name" dataDxfId="40"/>
    <tableColumn id="3" xr3:uid="{00000000-0010-0000-0100-000003000000}" name="City" dataDxfId="39"/>
    <tableColumn id="4" xr3:uid="{00000000-0010-0000-0100-000004000000}" name="Join Date" dataDxfId="38"/>
    <tableColumn id="5" xr3:uid="{00000000-0010-0000-0100-000005000000}" name="Employment Status" dataDxfId="37"/>
    <tableColumn id="6" xr3:uid="{00000000-0010-0000-0100-000006000000}" name="Monthly Base Pay ($)" dataDxfId="36"/>
    <tableColumn id="7" xr3:uid="{00000000-0010-0000-0100-000007000000}" name="Total Orders Assigned" dataDxfId="35"/>
    <tableColumn id="8" xr3:uid="{00000000-0010-0000-0100-000008000000}" name="Delivered Orders" dataDxfId="34"/>
    <tableColumn id="9" xr3:uid="{00000000-0010-0000-0100-000009000000}" name="On-Time Deliveries (&lt;=45 min)" dataDxfId="33"/>
    <tableColumn id="10" xr3:uid="{00000000-0010-0000-0100-00000A000000}" name="On-Time %" dataDxfId="32"/>
    <tableColumn id="11" xr3:uid="{00000000-0010-0000-0100-00000B000000}" name="Avg Customer Rating" dataDxfId="31"/>
    <tableColumn id="12" xr3:uid="{00000000-0010-0000-0100-00000C000000}" name="Avg Delivery Time (mins)" dataDxfId="30"/>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Orders" displayName="tblOrders" ref="A1:Z221" totalsRowShown="0" headerRowDxfId="29">
  <autoFilter ref="A1:Z221" xr:uid="{00000000-0009-0000-0100-000001000000}"/>
  <tableColumns count="26">
    <tableColumn id="1" xr3:uid="{00000000-0010-0000-0000-000001000000}" name="Order ID" dataDxfId="28"/>
    <tableColumn id="2" xr3:uid="{00000000-0010-0000-0000-000002000000}" name="Order Date" dataDxfId="27"/>
    <tableColumn id="3" xr3:uid="{00000000-0010-0000-0000-000003000000}" name="Customer Name" dataDxfId="26"/>
    <tableColumn id="4" xr3:uid="{00000000-0010-0000-0000-000004000000}" name="City" dataDxfId="25"/>
    <tableColumn id="5" xr3:uid="{00000000-0010-0000-0000-000005000000}" name="Channel" dataDxfId="24"/>
    <tableColumn id="6" xr3:uid="{00000000-0010-0000-0000-000006000000}" name="Category" dataDxfId="23"/>
    <tableColumn id="7" xr3:uid="{00000000-0010-0000-0000-000007000000}" name="Items" dataDxfId="22"/>
    <tableColumn id="8" xr3:uid="{00000000-0010-0000-0000-000008000000}" name="Order Value ($)" dataDxfId="21"/>
    <tableColumn id="9" xr3:uid="{00000000-0010-0000-0000-000009000000}" name="Discount %" dataDxfId="20"/>
    <tableColumn id="10" xr3:uid="{00000000-0010-0000-0000-00000A000000}" name="Delivery Charge ($)" dataDxfId="19"/>
    <tableColumn id="11" xr3:uid="{00000000-0010-0000-0000-00000B000000}" name="Net Revenue ($)" dataDxfId="18"/>
    <tableColumn id="12" xr3:uid="{00000000-0010-0000-0000-00000C000000}" name="Payment Method" dataDxfId="17"/>
    <tableColumn id="13" xr3:uid="{00000000-0010-0000-0000-00000D000000}" name="Delivery Partner" dataDxfId="16"/>
    <tableColumn id="14" xr3:uid="{00000000-0010-0000-0000-00000E000000}" name="Delivery Status" dataDxfId="15"/>
    <tableColumn id="15" xr3:uid="{00000000-0010-0000-0000-00000F000000}" name="Delivery Time (mins)" dataDxfId="14"/>
    <tableColumn id="16" xr3:uid="{00000000-0010-0000-0000-000010000000}" name="Customer Rating (1-5)" dataDxfId="13"/>
    <tableColumn id="17" xr3:uid="{00000000-0010-0000-0000-000011000000}" name="Month" dataDxfId="12">
      <calculatedColumnFormula>TEXT(tblOrders[[#This Row],[Order Date]],"mmm-yyyy")</calculatedColumnFormula>
    </tableColumn>
    <tableColumn id="18" xr3:uid="{00000000-0010-0000-0000-000012000000}" name="Cost of Goods ($)" dataDxfId="11"/>
    <tableColumn id="19" xr3:uid="{00000000-0010-0000-0000-000013000000}" name="Fulfillment Cost ($)" dataDxfId="10"/>
    <tableColumn id="20" xr3:uid="{00000000-0010-0000-0000-000014000000}" name="Total Cost ($)" dataDxfId="9"/>
    <tableColumn id="21" xr3:uid="{00000000-0010-0000-0000-000015000000}" name="Net Profit/(Loss) ($)" dataDxfId="8"/>
    <tableColumn id="22" xr3:uid="{00000000-0010-0000-0000-000016000000}" name="Profit ($)" dataDxfId="7"/>
    <tableColumn id="23" xr3:uid="{00000000-0010-0000-0000-000017000000}" name="Profit %" dataDxfId="6"/>
    <tableColumn id="24" xr3:uid="{00000000-0010-0000-0000-000018000000}" name="Loss ($)" dataDxfId="5"/>
    <tableColumn id="25" xr3:uid="{00000000-0010-0000-0000-000019000000}" name="Loss %" dataDxfId="4"/>
    <tableColumn id="26" xr3:uid="{00000000-0010-0000-0000-00001A000000}" name="Loss Caus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AF036-59DB-4577-BDE6-27613E1523B4}">
  <dimension ref="A3:O58"/>
  <sheetViews>
    <sheetView showGridLines="0" tabSelected="1" workbookViewId="0">
      <selection activeCell="H24" sqref="H24"/>
    </sheetView>
  </sheetViews>
  <sheetFormatPr defaultRowHeight="14.4" x14ac:dyDescent="0.3"/>
  <cols>
    <col min="1" max="1" width="17.6640625" bestFit="1" customWidth="1"/>
    <col min="2" max="2" width="18.21875" bestFit="1" customWidth="1"/>
    <col min="3" max="3" width="14.77734375" bestFit="1" customWidth="1"/>
    <col min="4" max="4" width="22" bestFit="1" customWidth="1"/>
    <col min="5" max="5" width="18.21875" bestFit="1" customWidth="1"/>
    <col min="6" max="6" width="9.77734375" bestFit="1" customWidth="1"/>
    <col min="7" max="7" width="10.88671875" bestFit="1" customWidth="1"/>
    <col min="8" max="8" width="18.21875" bestFit="1" customWidth="1"/>
    <col min="9" max="9" width="18.44140625" bestFit="1" customWidth="1"/>
    <col min="10" max="10" width="15.88671875" bestFit="1" customWidth="1"/>
    <col min="11" max="11" width="18.44140625" bestFit="1" customWidth="1"/>
    <col min="12" max="12" width="15.88671875" bestFit="1" customWidth="1"/>
    <col min="13" max="13" width="18.21875" bestFit="1" customWidth="1"/>
    <col min="14" max="14" width="15.5546875" bestFit="1" customWidth="1"/>
    <col min="15" max="15" width="14.77734375" bestFit="1" customWidth="1"/>
    <col min="16" max="16" width="22" bestFit="1" customWidth="1"/>
    <col min="17" max="17" width="15.88671875" bestFit="1" customWidth="1"/>
  </cols>
  <sheetData>
    <row r="3" spans="1:10" x14ac:dyDescent="0.3">
      <c r="A3" s="43" t="s">
        <v>2</v>
      </c>
      <c r="B3" s="44" t="s">
        <v>541</v>
      </c>
      <c r="D3" s="43" t="s">
        <v>53</v>
      </c>
      <c r="E3" s="44" t="s">
        <v>541</v>
      </c>
      <c r="G3" s="43" t="s">
        <v>20</v>
      </c>
      <c r="H3" s="44" t="s">
        <v>541</v>
      </c>
    </row>
    <row r="4" spans="1:10" x14ac:dyDescent="0.3">
      <c r="A4" s="44" t="s">
        <v>6</v>
      </c>
      <c r="B4" s="45">
        <v>179205.201</v>
      </c>
      <c r="D4" s="44" t="s">
        <v>81</v>
      </c>
      <c r="E4" s="45">
        <v>62297.480500000005</v>
      </c>
      <c r="G4" s="44" t="s">
        <v>31</v>
      </c>
      <c r="H4" s="45">
        <v>72152.268000000011</v>
      </c>
    </row>
    <row r="5" spans="1:10" x14ac:dyDescent="0.3">
      <c r="A5" s="44" t="s">
        <v>8</v>
      </c>
      <c r="B5" s="45">
        <v>74673.84599999999</v>
      </c>
      <c r="D5" s="44" t="s">
        <v>131</v>
      </c>
      <c r="E5" s="45">
        <v>40778.362000000001</v>
      </c>
      <c r="G5" s="44" t="s">
        <v>29</v>
      </c>
      <c r="H5" s="45">
        <v>69670.656499999997</v>
      </c>
    </row>
    <row r="6" spans="1:10" x14ac:dyDescent="0.3">
      <c r="A6" s="44" t="s">
        <v>9</v>
      </c>
      <c r="B6" s="45">
        <v>22663.750999999997</v>
      </c>
      <c r="D6" s="44" t="s">
        <v>73</v>
      </c>
      <c r="E6" s="45">
        <v>38687.255000000005</v>
      </c>
      <c r="G6" s="44" t="s">
        <v>28</v>
      </c>
      <c r="H6" s="45">
        <v>40682.241499999996</v>
      </c>
    </row>
    <row r="7" spans="1:10" x14ac:dyDescent="0.3">
      <c r="A7" s="44" t="s">
        <v>4</v>
      </c>
      <c r="B7" s="45">
        <v>31986.249499999994</v>
      </c>
      <c r="D7" s="44" t="s">
        <v>87</v>
      </c>
      <c r="E7" s="45">
        <v>43207.195</v>
      </c>
      <c r="G7" s="44" t="s">
        <v>33</v>
      </c>
      <c r="H7" s="45">
        <v>54727.283500000012</v>
      </c>
    </row>
    <row r="8" spans="1:10" x14ac:dyDescent="0.3">
      <c r="A8" s="44" t="s">
        <v>11</v>
      </c>
      <c r="B8" s="45">
        <v>56806.625999999997</v>
      </c>
      <c r="D8" s="44" t="s">
        <v>69</v>
      </c>
      <c r="E8" s="45">
        <v>47101.950999999986</v>
      </c>
      <c r="G8" s="44" t="s">
        <v>30</v>
      </c>
      <c r="H8" s="45">
        <v>81661.369000000006</v>
      </c>
    </row>
    <row r="9" spans="1:10" x14ac:dyDescent="0.3">
      <c r="A9" s="44" t="s">
        <v>10</v>
      </c>
      <c r="B9" s="45">
        <v>17339.38</v>
      </c>
      <c r="D9" s="44" t="s">
        <v>77</v>
      </c>
      <c r="E9" s="45">
        <v>25854.540499999996</v>
      </c>
      <c r="G9" s="44" t="s">
        <v>32</v>
      </c>
      <c r="H9" s="45">
        <v>63781.234999999993</v>
      </c>
    </row>
    <row r="10" spans="1:10" x14ac:dyDescent="0.3">
      <c r="A10" s="44" t="s">
        <v>540</v>
      </c>
      <c r="B10" s="45">
        <v>382675.05349999998</v>
      </c>
      <c r="D10" s="44" t="s">
        <v>116</v>
      </c>
      <c r="E10" s="45">
        <v>51737.584999999999</v>
      </c>
      <c r="G10" s="44" t="s">
        <v>540</v>
      </c>
      <c r="H10" s="45">
        <v>382675.05350000004</v>
      </c>
    </row>
    <row r="11" spans="1:10" x14ac:dyDescent="0.3">
      <c r="D11" s="44" t="s">
        <v>97</v>
      </c>
      <c r="E11" s="45">
        <v>73010.684500000003</v>
      </c>
    </row>
    <row r="12" spans="1:10" x14ac:dyDescent="0.3">
      <c r="D12" s="44" t="s">
        <v>540</v>
      </c>
      <c r="E12" s="45">
        <v>382675.05350000004</v>
      </c>
    </row>
    <row r="15" spans="1:10" x14ac:dyDescent="0.3">
      <c r="A15" s="43" t="s">
        <v>12</v>
      </c>
      <c r="B15" s="44" t="s">
        <v>541</v>
      </c>
      <c r="D15" s="43" t="s">
        <v>20</v>
      </c>
      <c r="E15" s="44" t="s">
        <v>547</v>
      </c>
      <c r="F15" s="44" t="s">
        <v>548</v>
      </c>
      <c r="H15" s="26" t="s">
        <v>60</v>
      </c>
      <c r="I15" s="25" t="s">
        <v>541</v>
      </c>
      <c r="J15" s="25" t="s">
        <v>542</v>
      </c>
    </row>
    <row r="16" spans="1:10" x14ac:dyDescent="0.3">
      <c r="A16" s="44" t="s">
        <v>18</v>
      </c>
      <c r="B16" s="45">
        <v>110397.11549999999</v>
      </c>
      <c r="D16" s="44" t="s">
        <v>31</v>
      </c>
      <c r="E16" s="45">
        <v>14454.470000000003</v>
      </c>
      <c r="F16" s="45">
        <v>1332.6186</v>
      </c>
      <c r="H16" s="25" t="s">
        <v>15</v>
      </c>
      <c r="I16" s="27">
        <v>0</v>
      </c>
      <c r="J16" s="28">
        <v>12</v>
      </c>
    </row>
    <row r="17" spans="1:10" x14ac:dyDescent="0.3">
      <c r="A17" s="44" t="s">
        <v>16</v>
      </c>
      <c r="B17" s="45">
        <v>98127.143999999971</v>
      </c>
      <c r="D17" s="44" t="s">
        <v>29</v>
      </c>
      <c r="E17" s="45">
        <v>15949.249499999998</v>
      </c>
      <c r="F17" s="45">
        <v>2522.8720999999996</v>
      </c>
      <c r="H17" s="25" t="s">
        <v>13</v>
      </c>
      <c r="I17" s="27">
        <v>382264.05350000015</v>
      </c>
      <c r="J17" s="28">
        <v>192</v>
      </c>
    </row>
    <row r="18" spans="1:10" x14ac:dyDescent="0.3">
      <c r="A18" s="44" t="s">
        <v>19</v>
      </c>
      <c r="B18" s="45">
        <v>74884.814999999988</v>
      </c>
      <c r="D18" s="44" t="s">
        <v>28</v>
      </c>
      <c r="E18" s="45">
        <v>10237.417700000002</v>
      </c>
      <c r="F18" s="45">
        <v>4344.5772999999999</v>
      </c>
      <c r="H18" s="25" t="s">
        <v>17</v>
      </c>
      <c r="I18" s="27">
        <v>411</v>
      </c>
      <c r="J18" s="28">
        <v>16</v>
      </c>
    </row>
    <row r="19" spans="1:10" x14ac:dyDescent="0.3">
      <c r="A19" s="44" t="s">
        <v>14</v>
      </c>
      <c r="B19" s="45">
        <v>99265.979000000007</v>
      </c>
      <c r="D19" s="44" t="s">
        <v>33</v>
      </c>
      <c r="E19" s="45">
        <v>10522.553499999998</v>
      </c>
      <c r="F19" s="45">
        <v>14136.774400000002</v>
      </c>
      <c r="H19" s="25" t="s">
        <v>540</v>
      </c>
      <c r="I19" s="27">
        <v>382675.05350000015</v>
      </c>
      <c r="J19" s="25">
        <v>220</v>
      </c>
    </row>
    <row r="20" spans="1:10" x14ac:dyDescent="0.3">
      <c r="A20" s="44" t="s">
        <v>540</v>
      </c>
      <c r="B20" s="45">
        <v>382675.05349999992</v>
      </c>
      <c r="D20" s="44" t="s">
        <v>30</v>
      </c>
      <c r="E20" s="45">
        <v>12522.4838</v>
      </c>
      <c r="F20" s="45">
        <v>3182.2317000000003</v>
      </c>
    </row>
    <row r="21" spans="1:10" x14ac:dyDescent="0.3">
      <c r="D21" s="44" t="s">
        <v>32</v>
      </c>
      <c r="E21" s="45">
        <v>13475.930899999996</v>
      </c>
      <c r="F21" s="45">
        <v>9123.1602000000021</v>
      </c>
    </row>
    <row r="22" spans="1:10" x14ac:dyDescent="0.3">
      <c r="D22" s="44" t="s">
        <v>540</v>
      </c>
      <c r="E22" s="45">
        <v>77162.105399999986</v>
      </c>
      <c r="F22" s="45">
        <v>34642.234300000004</v>
      </c>
    </row>
    <row r="25" spans="1:10" x14ac:dyDescent="0.3">
      <c r="A25" s="44" t="s">
        <v>541</v>
      </c>
      <c r="B25" s="44" t="s">
        <v>543</v>
      </c>
      <c r="C25" s="44" t="s">
        <v>544</v>
      </c>
      <c r="D25" s="44" t="s">
        <v>545</v>
      </c>
      <c r="E25" s="44" t="s">
        <v>546</v>
      </c>
    </row>
    <row r="26" spans="1:10" x14ac:dyDescent="0.3">
      <c r="A26" s="45">
        <v>382675.05350000015</v>
      </c>
      <c r="B26" s="45">
        <v>42519.871099999946</v>
      </c>
      <c r="C26" s="46">
        <v>220</v>
      </c>
      <c r="D26" s="47">
        <v>56.52403846153846</v>
      </c>
      <c r="E26" s="47">
        <v>3.9038461538461537</v>
      </c>
    </row>
    <row r="50" spans="1:15" x14ac:dyDescent="0.3">
      <c r="A50" t="s">
        <v>2</v>
      </c>
      <c r="B50" t="s">
        <v>549</v>
      </c>
      <c r="D50" t="s">
        <v>53</v>
      </c>
      <c r="E50" t="s">
        <v>549</v>
      </c>
      <c r="G50" t="s">
        <v>20</v>
      </c>
      <c r="H50" t="s">
        <v>549</v>
      </c>
      <c r="J50" t="s">
        <v>12</v>
      </c>
      <c r="K50" t="s">
        <v>549</v>
      </c>
      <c r="M50" t="s">
        <v>20</v>
      </c>
      <c r="N50" t="s">
        <v>547</v>
      </c>
      <c r="O50" t="s">
        <v>548</v>
      </c>
    </row>
    <row r="51" spans="1:15" x14ac:dyDescent="0.3">
      <c r="A51" t="str">
        <f>Pivot!$A$4</f>
        <v>Electronics</v>
      </c>
      <c r="B51" s="10">
        <f>Pivot!$B$4</f>
        <v>179205.201</v>
      </c>
      <c r="D51" t="str">
        <f>Pivot!$D$4</f>
        <v>Bengaluru</v>
      </c>
      <c r="E51" s="10">
        <f>Pivot!$E$4</f>
        <v>62297.480500000005</v>
      </c>
      <c r="G51" t="str">
        <f>Pivot!$G$4</f>
        <v>Apr-2026</v>
      </c>
      <c r="H51" s="10">
        <f>Pivot!$H$4</f>
        <v>72152.268000000011</v>
      </c>
      <c r="J51" t="str">
        <f>Pivot!$A$16</f>
        <v>Cash on Delivery</v>
      </c>
      <c r="K51" s="10">
        <f>Pivot!$B$16</f>
        <v>110397.11549999999</v>
      </c>
      <c r="M51" t="str">
        <f>Pivot!$D$16</f>
        <v>Apr-2026</v>
      </c>
      <c r="N51" s="10">
        <f>Pivot!$E$16</f>
        <v>14454.470000000003</v>
      </c>
      <c r="O51" s="10">
        <f>Pivot!$F$16</f>
        <v>1332.6186</v>
      </c>
    </row>
    <row r="52" spans="1:15" x14ac:dyDescent="0.3">
      <c r="A52" t="str">
        <f>Pivot!$A$5</f>
        <v>Fashion</v>
      </c>
      <c r="B52" s="10">
        <f>Pivot!$B$5</f>
        <v>74673.84599999999</v>
      </c>
      <c r="D52" t="str">
        <f>Pivot!$D$5</f>
        <v>Bhubaneswar</v>
      </c>
      <c r="E52" s="10">
        <f>Pivot!$E$5</f>
        <v>40778.362000000001</v>
      </c>
      <c r="G52" t="str">
        <f>Pivot!$G$5</f>
        <v>Feb-2026</v>
      </c>
      <c r="H52" s="10">
        <f>Pivot!$H$5</f>
        <v>69670.656499999997</v>
      </c>
      <c r="J52" t="str">
        <f>Pivot!$A$17</f>
        <v>Credit/Debit Card</v>
      </c>
      <c r="K52" s="10">
        <f>Pivot!$B$17</f>
        <v>98127.143999999971</v>
      </c>
      <c r="M52" t="str">
        <f>Pivot!$D$17</f>
        <v>Feb-2026</v>
      </c>
      <c r="N52" s="10">
        <f>Pivot!$E$17</f>
        <v>15949.249499999998</v>
      </c>
      <c r="O52" s="10">
        <f>Pivot!$F$17</f>
        <v>2522.8720999999996</v>
      </c>
    </row>
    <row r="53" spans="1:15" x14ac:dyDescent="0.3">
      <c r="A53" t="str">
        <f>Pivot!$A$6</f>
        <v>Food &amp; Beverage</v>
      </c>
      <c r="B53" s="10">
        <f>Pivot!$B$6</f>
        <v>22663.750999999997</v>
      </c>
      <c r="D53" t="str">
        <f>Pivot!$D$6</f>
        <v>Chennai</v>
      </c>
      <c r="E53" s="10">
        <f>Pivot!$E$6</f>
        <v>38687.255000000005</v>
      </c>
      <c r="G53" t="str">
        <f>Pivot!$G$6</f>
        <v>Jan-2026</v>
      </c>
      <c r="H53" s="10">
        <f>Pivot!$H$6</f>
        <v>40682.241499999996</v>
      </c>
      <c r="J53" t="str">
        <f>Pivot!$A$18</f>
        <v>Net Banking</v>
      </c>
      <c r="K53" s="10">
        <f>Pivot!$B$18</f>
        <v>74884.814999999988</v>
      </c>
      <c r="M53" t="str">
        <f>Pivot!$D$18</f>
        <v>Jan-2026</v>
      </c>
      <c r="N53" s="10">
        <f>Pivot!$E$18</f>
        <v>10237.417700000002</v>
      </c>
      <c r="O53" s="10">
        <f>Pivot!$F$18</f>
        <v>4344.5772999999999</v>
      </c>
    </row>
    <row r="54" spans="1:15" x14ac:dyDescent="0.3">
      <c r="A54" t="str">
        <f>Pivot!$A$7</f>
        <v>Grocery</v>
      </c>
      <c r="B54" s="10">
        <f>Pivot!$B$7</f>
        <v>31986.249499999994</v>
      </c>
      <c r="D54" t="str">
        <f>Pivot!$D$7</f>
        <v>Delhi</v>
      </c>
      <c r="E54" s="10">
        <f>Pivot!$E$7</f>
        <v>43207.195</v>
      </c>
      <c r="G54" t="str">
        <f>Pivot!$G$7</f>
        <v>Jun-2026</v>
      </c>
      <c r="H54" s="10">
        <f>Pivot!$H$7</f>
        <v>54727.283500000012</v>
      </c>
      <c r="J54" t="str">
        <f>Pivot!$A$19</f>
        <v>UPI/Wallet</v>
      </c>
      <c r="K54" s="10">
        <f>Pivot!$B$19</f>
        <v>99265.979000000007</v>
      </c>
      <c r="M54" t="str">
        <f>Pivot!$D$19</f>
        <v>Jun-2026</v>
      </c>
      <c r="N54" s="10">
        <f>Pivot!$E$19</f>
        <v>10522.553499999998</v>
      </c>
      <c r="O54" s="10">
        <f>Pivot!$F$19</f>
        <v>14136.774400000002</v>
      </c>
    </row>
    <row r="55" spans="1:15" x14ac:dyDescent="0.3">
      <c r="A55" t="str">
        <f>Pivot!$A$8</f>
        <v>Home &amp; Living</v>
      </c>
      <c r="B55" s="10">
        <f>Pivot!$B$8</f>
        <v>56806.625999999997</v>
      </c>
      <c r="D55" t="str">
        <f>Pivot!$D$8</f>
        <v>Hyderabad</v>
      </c>
      <c r="E55" s="10">
        <f>Pivot!$E$8</f>
        <v>47101.950999999986</v>
      </c>
      <c r="G55" t="str">
        <f>Pivot!$G$8</f>
        <v>Mar-2026</v>
      </c>
      <c r="H55" s="10">
        <f>Pivot!$H$8</f>
        <v>81661.369000000006</v>
      </c>
      <c r="M55" t="str">
        <f>Pivot!$D$20</f>
        <v>Mar-2026</v>
      </c>
      <c r="N55" s="10">
        <f>Pivot!$E$20</f>
        <v>12522.4838</v>
      </c>
      <c r="O55" s="10">
        <f>Pivot!$F$20</f>
        <v>3182.2317000000003</v>
      </c>
    </row>
    <row r="56" spans="1:15" x14ac:dyDescent="0.3">
      <c r="A56" t="str">
        <f>Pivot!$A$9</f>
        <v>Pharmacy</v>
      </c>
      <c r="B56" s="10">
        <f>Pivot!$B$9</f>
        <v>17339.38</v>
      </c>
      <c r="D56" t="str">
        <f>Pivot!$D$9</f>
        <v>Kolkata</v>
      </c>
      <c r="E56" s="10">
        <f>Pivot!$E$9</f>
        <v>25854.540499999996</v>
      </c>
      <c r="G56" t="str">
        <f>Pivot!$G$9</f>
        <v>May-2026</v>
      </c>
      <c r="H56" s="10">
        <f>Pivot!$H$9</f>
        <v>63781.234999999993</v>
      </c>
      <c r="M56" t="str">
        <f>Pivot!$D$21</f>
        <v>May-2026</v>
      </c>
      <c r="N56" s="10">
        <f>Pivot!$E$21</f>
        <v>13475.930899999996</v>
      </c>
      <c r="O56" s="10">
        <f>Pivot!$F$21</f>
        <v>9123.1602000000021</v>
      </c>
    </row>
    <row r="57" spans="1:15" x14ac:dyDescent="0.3">
      <c r="D57" t="str">
        <f>Pivot!$D$10</f>
        <v>Mumbai</v>
      </c>
      <c r="E57" s="10">
        <f>Pivot!$E$10</f>
        <v>51737.584999999999</v>
      </c>
    </row>
    <row r="58" spans="1:15" x14ac:dyDescent="0.3">
      <c r="D58" t="str">
        <f>Pivot!$D$11</f>
        <v>Pune</v>
      </c>
      <c r="E58" s="10">
        <f>Pivot!$E$11</f>
        <v>73010.684500000003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dimension ref="A1:M21"/>
  <sheetViews>
    <sheetView showGridLines="0" topLeftCell="B1" zoomScaleNormal="100" workbookViewId="0">
      <pane ySplit="1" topLeftCell="A2" activePane="bottomLeft" state="frozen"/>
      <selection pane="bottomLeft" activeCell="I24" sqref="I24"/>
    </sheetView>
  </sheetViews>
  <sheetFormatPr defaultColWidth="8.6640625" defaultRowHeight="14.4" x14ac:dyDescent="0.3"/>
  <cols>
    <col min="1" max="1" width="11" customWidth="1"/>
    <col min="2" max="2" width="18" customWidth="1"/>
    <col min="3" max="4" width="14" customWidth="1"/>
    <col min="5" max="5" width="15" customWidth="1"/>
    <col min="6" max="6" width="18.77734375" bestFit="1" customWidth="1"/>
    <col min="7" max="7" width="17.5546875" bestFit="1" customWidth="1"/>
    <col min="8" max="8" width="14.88671875" bestFit="1" customWidth="1"/>
    <col min="9" max="9" width="20" customWidth="1"/>
    <col min="10" max="10" width="16.21875" bestFit="1" customWidth="1"/>
    <col min="11" max="11" width="19.5546875" bestFit="1" customWidth="1"/>
    <col min="12" max="12" width="18.21875" bestFit="1" customWidth="1"/>
    <col min="13" max="13" width="12" customWidth="1"/>
  </cols>
  <sheetData>
    <row r="1" spans="1:13" ht="33.75" customHeight="1" x14ac:dyDescent="0.3">
      <c r="A1" s="36" t="s">
        <v>495</v>
      </c>
      <c r="B1" s="18" t="s">
        <v>496</v>
      </c>
      <c r="C1" s="18" t="s">
        <v>53</v>
      </c>
      <c r="D1" s="18" t="s">
        <v>497</v>
      </c>
      <c r="E1" s="18" t="s">
        <v>498</v>
      </c>
      <c r="F1" s="18" t="s">
        <v>499</v>
      </c>
      <c r="G1" s="18" t="s">
        <v>500</v>
      </c>
      <c r="H1" s="18" t="s">
        <v>501</v>
      </c>
      <c r="I1" s="18" t="s">
        <v>502</v>
      </c>
      <c r="J1" s="18" t="s">
        <v>503</v>
      </c>
      <c r="K1" s="18" t="s">
        <v>0</v>
      </c>
      <c r="L1" s="18" t="s">
        <v>504</v>
      </c>
      <c r="M1" s="19" t="s">
        <v>505</v>
      </c>
    </row>
    <row r="2" spans="1:13" x14ac:dyDescent="0.3">
      <c r="A2" s="37" t="s">
        <v>506</v>
      </c>
      <c r="B2" s="20" t="s">
        <v>132</v>
      </c>
      <c r="C2" s="20" t="s">
        <v>97</v>
      </c>
      <c r="D2" s="21">
        <v>45679</v>
      </c>
      <c r="E2" s="20" t="s">
        <v>507</v>
      </c>
      <c r="F2" s="22">
        <v>16000</v>
      </c>
      <c r="G2" s="2">
        <f>COUNTIF(Orders!$M$2:$M$221,$B2)</f>
        <v>6</v>
      </c>
      <c r="H2" s="2">
        <f>COUNTIFS(Orders!$M$2:$M$221,$B2,Orders!$N$2:$N$221,"Delivered")</f>
        <v>6</v>
      </c>
      <c r="I2" s="2">
        <f>COUNTIFS(Orders!$M$2:$M$221,$B2,Orders!$N$2:$N$221,"Delivered",Orders!$O$2:$O$221,"&lt;=45")</f>
        <v>2</v>
      </c>
      <c r="J2" s="5">
        <f t="shared" ref="J2:J21" si="0">IFERROR(I2/H2,0)</f>
        <v>0.33333333333333331</v>
      </c>
      <c r="K2" s="23">
        <f>IFERROR(AVERAGEIFS(Orders!$P$2:$P$221,Orders!$M$2:$M$221,$B2,Orders!$N$2:$N$221,"Delivered"),0)</f>
        <v>4.333333333333333</v>
      </c>
      <c r="L2" s="24">
        <f>IFERROR(AVERAGEIFS(Orders!$O$2:$O$221,Orders!$M$2:$M$221,$B2,Orders!$N$2:$N$221,"Delivered"),0)</f>
        <v>60.833333333333336</v>
      </c>
      <c r="M2" s="2">
        <f t="shared" ref="M2:M21" si="1">H2-ROW()/100000</f>
        <v>5.9999799999999999</v>
      </c>
    </row>
    <row r="3" spans="1:13" x14ac:dyDescent="0.3">
      <c r="A3" s="37" t="s">
        <v>508</v>
      </c>
      <c r="B3" s="20" t="s">
        <v>113</v>
      </c>
      <c r="C3" s="20" t="s">
        <v>69</v>
      </c>
      <c r="D3" s="21">
        <v>45477</v>
      </c>
      <c r="E3" s="20" t="s">
        <v>507</v>
      </c>
      <c r="F3" s="22">
        <v>14000</v>
      </c>
      <c r="G3" s="2">
        <f>COUNTIF(Orders!$M$2:$M$221,$B3)</f>
        <v>14</v>
      </c>
      <c r="H3" s="2">
        <f>COUNTIFS(Orders!$M$2:$M$221,$B3,Orders!$N$2:$N$221,"Delivered")</f>
        <v>13</v>
      </c>
      <c r="I3" s="2">
        <f>COUNTIFS(Orders!$M$2:$M$221,$B3,Orders!$N$2:$N$221,"Delivered",Orders!$O$2:$O$221,"&lt;=45")</f>
        <v>9</v>
      </c>
      <c r="J3" s="5">
        <f t="shared" si="0"/>
        <v>0.69230769230769229</v>
      </c>
      <c r="K3" s="23">
        <f>IFERROR(AVERAGEIFS(Orders!$P$2:$P$221,Orders!$M$2:$M$221,$B3,Orders!$N$2:$N$221,"Delivered"),0)</f>
        <v>4</v>
      </c>
      <c r="L3" s="24">
        <f>IFERROR(AVERAGEIFS(Orders!$O$2:$O$221,Orders!$M$2:$M$221,$B3,Orders!$N$2:$N$221,"Delivered"),0)</f>
        <v>44.53846153846154</v>
      </c>
      <c r="M3" s="2">
        <f t="shared" si="1"/>
        <v>12.999969999999999</v>
      </c>
    </row>
    <row r="4" spans="1:13" x14ac:dyDescent="0.3">
      <c r="A4" s="37" t="s">
        <v>509</v>
      </c>
      <c r="B4" s="20" t="s">
        <v>164</v>
      </c>
      <c r="C4" s="20" t="s">
        <v>97</v>
      </c>
      <c r="D4" s="21">
        <v>45698</v>
      </c>
      <c r="E4" s="20" t="s">
        <v>507</v>
      </c>
      <c r="F4" s="22">
        <v>14000</v>
      </c>
      <c r="G4" s="2">
        <f>COUNTIF(Orders!$M$2:$M$221,$B4)</f>
        <v>5</v>
      </c>
      <c r="H4" s="2">
        <f>COUNTIFS(Orders!$M$2:$M$221,$B4,Orders!$N$2:$N$221,"Delivered")</f>
        <v>5</v>
      </c>
      <c r="I4" s="2">
        <f>COUNTIFS(Orders!$M$2:$M$221,$B4,Orders!$N$2:$N$221,"Delivered",Orders!$O$2:$O$221,"&lt;=45")</f>
        <v>1</v>
      </c>
      <c r="J4" s="5">
        <f t="shared" si="0"/>
        <v>0.2</v>
      </c>
      <c r="K4" s="23">
        <f>IFERROR(AVERAGEIFS(Orders!$P$2:$P$221,Orders!$M$2:$M$221,$B4,Orders!$N$2:$N$221,"Delivered"),0)</f>
        <v>4.2</v>
      </c>
      <c r="L4" s="24">
        <f>IFERROR(AVERAGEIFS(Orders!$O$2:$O$221,Orders!$M$2:$M$221,$B4,Orders!$N$2:$N$221,"Delivered"),0)</f>
        <v>57</v>
      </c>
      <c r="M4" s="2">
        <f t="shared" si="1"/>
        <v>4.9999599999999997</v>
      </c>
    </row>
    <row r="5" spans="1:13" x14ac:dyDescent="0.3">
      <c r="A5" s="37" t="s">
        <v>510</v>
      </c>
      <c r="B5" s="20" t="s">
        <v>110</v>
      </c>
      <c r="C5" s="20" t="s">
        <v>97</v>
      </c>
      <c r="D5" s="21">
        <v>45367</v>
      </c>
      <c r="E5" s="20" t="s">
        <v>507</v>
      </c>
      <c r="F5" s="22">
        <v>18000</v>
      </c>
      <c r="G5" s="2">
        <f>COUNTIF(Orders!$M$2:$M$221,$B5)</f>
        <v>16</v>
      </c>
      <c r="H5" s="2">
        <f>COUNTIFS(Orders!$M$2:$M$221,$B5,Orders!$N$2:$N$221,"Delivered")</f>
        <v>12</v>
      </c>
      <c r="I5" s="2">
        <f>COUNTIFS(Orders!$M$2:$M$221,$B5,Orders!$N$2:$N$221,"Delivered",Orders!$O$2:$O$221,"&lt;=45")</f>
        <v>8</v>
      </c>
      <c r="J5" s="5">
        <f t="shared" si="0"/>
        <v>0.66666666666666663</v>
      </c>
      <c r="K5" s="23">
        <f>IFERROR(AVERAGEIFS(Orders!$P$2:$P$221,Orders!$M$2:$M$221,$B5,Orders!$N$2:$N$221,"Delivered"),0)</f>
        <v>4.166666666666667</v>
      </c>
      <c r="L5" s="24">
        <f>IFERROR(AVERAGEIFS(Orders!$O$2:$O$221,Orders!$M$2:$M$221,$B5,Orders!$N$2:$N$221,"Delivered"),0)</f>
        <v>45.416666666666664</v>
      </c>
      <c r="M5" s="2">
        <f t="shared" si="1"/>
        <v>11.99995</v>
      </c>
    </row>
    <row r="6" spans="1:13" x14ac:dyDescent="0.3">
      <c r="A6" s="37" t="s">
        <v>511</v>
      </c>
      <c r="B6" s="20" t="s">
        <v>74</v>
      </c>
      <c r="C6" s="20" t="s">
        <v>131</v>
      </c>
      <c r="D6" s="21">
        <v>45660</v>
      </c>
      <c r="E6" s="20" t="s">
        <v>507</v>
      </c>
      <c r="F6" s="22">
        <v>18000</v>
      </c>
      <c r="G6" s="2">
        <f>COUNTIF(Orders!$M$2:$M$221,$B6)</f>
        <v>10</v>
      </c>
      <c r="H6" s="2">
        <f>COUNTIFS(Orders!$M$2:$M$221,$B6,Orders!$N$2:$N$221,"Delivered")</f>
        <v>10</v>
      </c>
      <c r="I6" s="2">
        <f>COUNTIFS(Orders!$M$2:$M$221,$B6,Orders!$N$2:$N$221,"Delivered",Orders!$O$2:$O$221,"&lt;=45")</f>
        <v>2</v>
      </c>
      <c r="J6" s="5">
        <f t="shared" si="0"/>
        <v>0.2</v>
      </c>
      <c r="K6" s="23">
        <f>IFERROR(AVERAGEIFS(Orders!$P$2:$P$221,Orders!$M$2:$M$221,$B6,Orders!$N$2:$N$221,"Delivered"),0)</f>
        <v>3.8</v>
      </c>
      <c r="L6" s="24">
        <f>IFERROR(AVERAGEIFS(Orders!$O$2:$O$221,Orders!$M$2:$M$221,$B6,Orders!$N$2:$N$221,"Delivered"),0)</f>
        <v>68.099999999999994</v>
      </c>
      <c r="M6" s="2">
        <f t="shared" si="1"/>
        <v>9.9999400000000005</v>
      </c>
    </row>
    <row r="7" spans="1:13" x14ac:dyDescent="0.3">
      <c r="A7" s="37" t="s">
        <v>512</v>
      </c>
      <c r="B7" s="20" t="s">
        <v>137</v>
      </c>
      <c r="C7" s="20" t="s">
        <v>69</v>
      </c>
      <c r="D7" s="21">
        <v>45566</v>
      </c>
      <c r="E7" s="20" t="s">
        <v>507</v>
      </c>
      <c r="F7" s="22">
        <v>16000</v>
      </c>
      <c r="G7" s="2">
        <f>COUNTIF(Orders!$M$2:$M$221,$B7)</f>
        <v>8</v>
      </c>
      <c r="H7" s="2">
        <f>COUNTIFS(Orders!$M$2:$M$221,$B7,Orders!$N$2:$N$221,"Delivered")</f>
        <v>5</v>
      </c>
      <c r="I7" s="2">
        <f>COUNTIFS(Orders!$M$2:$M$221,$B7,Orders!$N$2:$N$221,"Delivered",Orders!$O$2:$O$221,"&lt;=45")</f>
        <v>2</v>
      </c>
      <c r="J7" s="5">
        <f t="shared" si="0"/>
        <v>0.4</v>
      </c>
      <c r="K7" s="23">
        <f>IFERROR(AVERAGEIFS(Orders!$P$2:$P$221,Orders!$M$2:$M$221,$B7,Orders!$N$2:$N$221,"Delivered"),0)</f>
        <v>4.5999999999999996</v>
      </c>
      <c r="L7" s="24">
        <f>IFERROR(AVERAGEIFS(Orders!$O$2:$O$221,Orders!$M$2:$M$221,$B7,Orders!$N$2:$N$221,"Delivered"),0)</f>
        <v>50.8</v>
      </c>
      <c r="M7" s="2">
        <f t="shared" si="1"/>
        <v>4.99993</v>
      </c>
    </row>
    <row r="8" spans="1:13" x14ac:dyDescent="0.3">
      <c r="A8" s="37" t="s">
        <v>513</v>
      </c>
      <c r="B8" s="20" t="s">
        <v>98</v>
      </c>
      <c r="C8" s="20" t="s">
        <v>131</v>
      </c>
      <c r="D8" s="21">
        <v>45766</v>
      </c>
      <c r="E8" s="20" t="s">
        <v>507</v>
      </c>
      <c r="F8" s="22">
        <v>15000</v>
      </c>
      <c r="G8" s="2">
        <f>COUNTIF(Orders!$M$2:$M$221,$B8)</f>
        <v>9</v>
      </c>
      <c r="H8" s="2">
        <f>COUNTIFS(Orders!$M$2:$M$221,$B8,Orders!$N$2:$N$221,"Delivered")</f>
        <v>6</v>
      </c>
      <c r="I8" s="2">
        <f>COUNTIFS(Orders!$M$2:$M$221,$B8,Orders!$N$2:$N$221,"Delivered",Orders!$O$2:$O$221,"&lt;=45")</f>
        <v>2</v>
      </c>
      <c r="J8" s="5">
        <f t="shared" si="0"/>
        <v>0.33333333333333331</v>
      </c>
      <c r="K8" s="23">
        <f>IFERROR(AVERAGEIFS(Orders!$P$2:$P$221,Orders!$M$2:$M$221,$B8,Orders!$N$2:$N$221,"Delivered"),0)</f>
        <v>4.333333333333333</v>
      </c>
      <c r="L8" s="24">
        <f>IFERROR(AVERAGEIFS(Orders!$O$2:$O$221,Orders!$M$2:$M$221,$B8,Orders!$N$2:$N$221,"Delivered"),0)</f>
        <v>60.833333333333336</v>
      </c>
      <c r="M8" s="2">
        <f t="shared" si="1"/>
        <v>5.9999200000000004</v>
      </c>
    </row>
    <row r="9" spans="1:13" x14ac:dyDescent="0.3">
      <c r="A9" s="37" t="s">
        <v>514</v>
      </c>
      <c r="B9" s="20" t="s">
        <v>94</v>
      </c>
      <c r="C9" s="20" t="s">
        <v>116</v>
      </c>
      <c r="D9" s="21">
        <v>45709</v>
      </c>
      <c r="E9" s="20" t="s">
        <v>507</v>
      </c>
      <c r="F9" s="22">
        <v>15000</v>
      </c>
      <c r="G9" s="2">
        <f>COUNTIF(Orders!$M$2:$M$221,$B9)</f>
        <v>14</v>
      </c>
      <c r="H9" s="2">
        <f>COUNTIFS(Orders!$M$2:$M$221,$B9,Orders!$N$2:$N$221,"Delivered")</f>
        <v>13</v>
      </c>
      <c r="I9" s="2">
        <f>COUNTIFS(Orders!$M$2:$M$221,$B9,Orders!$N$2:$N$221,"Delivered",Orders!$O$2:$O$221,"&lt;=45")</f>
        <v>3</v>
      </c>
      <c r="J9" s="5">
        <f t="shared" si="0"/>
        <v>0.23076923076923078</v>
      </c>
      <c r="K9" s="23">
        <f>IFERROR(AVERAGEIFS(Orders!$P$2:$P$221,Orders!$M$2:$M$221,$B9,Orders!$N$2:$N$221,"Delivered"),0)</f>
        <v>3.8461538461538463</v>
      </c>
      <c r="L9" s="24">
        <f>IFERROR(AVERAGEIFS(Orders!$O$2:$O$221,Orders!$M$2:$M$221,$B9,Orders!$N$2:$N$221,"Delivered"),0)</f>
        <v>63.46153846153846</v>
      </c>
      <c r="M9" s="2">
        <f t="shared" si="1"/>
        <v>12.99991</v>
      </c>
    </row>
    <row r="10" spans="1:13" x14ac:dyDescent="0.3">
      <c r="A10" s="37" t="s">
        <v>515</v>
      </c>
      <c r="B10" s="20" t="s">
        <v>78</v>
      </c>
      <c r="C10" s="20" t="s">
        <v>87</v>
      </c>
      <c r="D10" s="21">
        <v>45462</v>
      </c>
      <c r="E10" s="20" t="s">
        <v>507</v>
      </c>
      <c r="F10" s="22">
        <v>17000</v>
      </c>
      <c r="G10" s="2">
        <f>COUNTIF(Orders!$M$2:$M$221,$B10)</f>
        <v>12</v>
      </c>
      <c r="H10" s="2">
        <f>COUNTIFS(Orders!$M$2:$M$221,$B10,Orders!$N$2:$N$221,"Delivered")</f>
        <v>9</v>
      </c>
      <c r="I10" s="2">
        <f>COUNTIFS(Orders!$M$2:$M$221,$B10,Orders!$N$2:$N$221,"Delivered",Orders!$O$2:$O$221,"&lt;=45")</f>
        <v>3</v>
      </c>
      <c r="J10" s="5">
        <f t="shared" si="0"/>
        <v>0.33333333333333331</v>
      </c>
      <c r="K10" s="23">
        <f>IFERROR(AVERAGEIFS(Orders!$P$2:$P$221,Orders!$M$2:$M$221,$B10,Orders!$N$2:$N$221,"Delivered"),0)</f>
        <v>3.8888888888888888</v>
      </c>
      <c r="L10" s="24">
        <f>IFERROR(AVERAGEIFS(Orders!$O$2:$O$221,Orders!$M$2:$M$221,$B10,Orders!$N$2:$N$221,"Delivered"),0)</f>
        <v>53.222222222222221</v>
      </c>
      <c r="M10" s="2">
        <f t="shared" si="1"/>
        <v>8.9999000000000002</v>
      </c>
    </row>
    <row r="11" spans="1:13" x14ac:dyDescent="0.3">
      <c r="A11" s="37" t="s">
        <v>516</v>
      </c>
      <c r="B11" s="20" t="s">
        <v>70</v>
      </c>
      <c r="C11" s="20" t="s">
        <v>87</v>
      </c>
      <c r="D11" s="21">
        <v>45401</v>
      </c>
      <c r="E11" s="20" t="s">
        <v>507</v>
      </c>
      <c r="F11" s="22">
        <v>18000</v>
      </c>
      <c r="G11" s="2">
        <f>COUNTIF(Orders!$M$2:$M$221,$B11)</f>
        <v>18</v>
      </c>
      <c r="H11" s="2">
        <f>COUNTIFS(Orders!$M$2:$M$221,$B11,Orders!$N$2:$N$221,"Delivered")</f>
        <v>16</v>
      </c>
      <c r="I11" s="2">
        <f>COUNTIFS(Orders!$M$2:$M$221,$B11,Orders!$N$2:$N$221,"Delivered",Orders!$O$2:$O$221,"&lt;=45")</f>
        <v>7</v>
      </c>
      <c r="J11" s="5">
        <f t="shared" si="0"/>
        <v>0.4375</v>
      </c>
      <c r="K11" s="23">
        <f>IFERROR(AVERAGEIFS(Orders!$P$2:$P$221,Orders!$M$2:$M$221,$B11,Orders!$N$2:$N$221,"Delivered"),0)</f>
        <v>4.125</v>
      </c>
      <c r="L11" s="24">
        <f>IFERROR(AVERAGEIFS(Orders!$O$2:$O$221,Orders!$M$2:$M$221,$B11,Orders!$N$2:$N$221,"Delivered"),0)</f>
        <v>52.0625</v>
      </c>
      <c r="M11" s="2">
        <f t="shared" si="1"/>
        <v>15.999890000000001</v>
      </c>
    </row>
    <row r="12" spans="1:13" x14ac:dyDescent="0.3">
      <c r="A12" s="37" t="s">
        <v>517</v>
      </c>
      <c r="B12" s="20" t="s">
        <v>88</v>
      </c>
      <c r="C12" s="20" t="s">
        <v>131</v>
      </c>
      <c r="D12" s="21">
        <v>45487</v>
      </c>
      <c r="E12" s="20" t="s">
        <v>507</v>
      </c>
      <c r="F12" s="22">
        <v>18000</v>
      </c>
      <c r="G12" s="2">
        <f>COUNTIF(Orders!$M$2:$M$221,$B12)</f>
        <v>15</v>
      </c>
      <c r="H12" s="2">
        <f>COUNTIFS(Orders!$M$2:$M$221,$B12,Orders!$N$2:$N$221,"Delivered")</f>
        <v>13</v>
      </c>
      <c r="I12" s="2">
        <f>COUNTIFS(Orders!$M$2:$M$221,$B12,Orders!$N$2:$N$221,"Delivered",Orders!$O$2:$O$221,"&lt;=45")</f>
        <v>3</v>
      </c>
      <c r="J12" s="5">
        <f t="shared" si="0"/>
        <v>0.23076923076923078</v>
      </c>
      <c r="K12" s="23">
        <f>IFERROR(AVERAGEIFS(Orders!$P$2:$P$221,Orders!$M$2:$M$221,$B12,Orders!$N$2:$N$221,"Delivered"),0)</f>
        <v>3.9230769230769229</v>
      </c>
      <c r="L12" s="24">
        <f>IFERROR(AVERAGEIFS(Orders!$O$2:$O$221,Orders!$M$2:$M$221,$B12,Orders!$N$2:$N$221,"Delivered"),0)</f>
        <v>57.615384615384613</v>
      </c>
      <c r="M12" s="2">
        <f t="shared" si="1"/>
        <v>12.999879999999999</v>
      </c>
    </row>
    <row r="13" spans="1:13" x14ac:dyDescent="0.3">
      <c r="A13" s="37" t="s">
        <v>518</v>
      </c>
      <c r="B13" s="20" t="s">
        <v>146</v>
      </c>
      <c r="C13" s="20" t="s">
        <v>116</v>
      </c>
      <c r="D13" s="21">
        <v>45415</v>
      </c>
      <c r="E13" s="20" t="s">
        <v>507</v>
      </c>
      <c r="F13" s="22">
        <v>16000</v>
      </c>
      <c r="G13" s="2">
        <f>COUNTIF(Orders!$M$2:$M$221,$B13)</f>
        <v>11</v>
      </c>
      <c r="H13" s="2">
        <f>COUNTIFS(Orders!$M$2:$M$221,$B13,Orders!$N$2:$N$221,"Delivered")</f>
        <v>10</v>
      </c>
      <c r="I13" s="2">
        <f>COUNTIFS(Orders!$M$2:$M$221,$B13,Orders!$N$2:$N$221,"Delivered",Orders!$O$2:$O$221,"&lt;=45")</f>
        <v>1</v>
      </c>
      <c r="J13" s="5">
        <f t="shared" si="0"/>
        <v>0.1</v>
      </c>
      <c r="K13" s="23">
        <f>IFERROR(AVERAGEIFS(Orders!$P$2:$P$221,Orders!$M$2:$M$221,$B13,Orders!$N$2:$N$221,"Delivered"),0)</f>
        <v>4.4000000000000004</v>
      </c>
      <c r="L13" s="24">
        <f>IFERROR(AVERAGEIFS(Orders!$O$2:$O$221,Orders!$M$2:$M$221,$B13,Orders!$N$2:$N$221,"Delivered"),0)</f>
        <v>66</v>
      </c>
      <c r="M13" s="2">
        <f t="shared" si="1"/>
        <v>9.9998699999999996</v>
      </c>
    </row>
    <row r="14" spans="1:13" x14ac:dyDescent="0.3">
      <c r="A14" s="37" t="s">
        <v>519</v>
      </c>
      <c r="B14" s="20" t="s">
        <v>175</v>
      </c>
      <c r="C14" s="20" t="s">
        <v>87</v>
      </c>
      <c r="D14" s="21">
        <v>45776</v>
      </c>
      <c r="E14" s="20" t="s">
        <v>507</v>
      </c>
      <c r="F14" s="22">
        <v>14000</v>
      </c>
      <c r="G14" s="2">
        <f>COUNTIF(Orders!$M$2:$M$221,$B14)</f>
        <v>9</v>
      </c>
      <c r="H14" s="2">
        <f>COUNTIFS(Orders!$M$2:$M$221,$B14,Orders!$N$2:$N$221,"Delivered")</f>
        <v>7</v>
      </c>
      <c r="I14" s="2">
        <f>COUNTIFS(Orders!$M$2:$M$221,$B14,Orders!$N$2:$N$221,"Delivered",Orders!$O$2:$O$221,"&lt;=45")</f>
        <v>2</v>
      </c>
      <c r="J14" s="5">
        <f t="shared" si="0"/>
        <v>0.2857142857142857</v>
      </c>
      <c r="K14" s="23">
        <f>IFERROR(AVERAGEIFS(Orders!$P$2:$P$221,Orders!$M$2:$M$221,$B14,Orders!$N$2:$N$221,"Delivered"),0)</f>
        <v>3.7142857142857144</v>
      </c>
      <c r="L14" s="24">
        <f>IFERROR(AVERAGEIFS(Orders!$O$2:$O$221,Orders!$M$2:$M$221,$B14,Orders!$N$2:$N$221,"Delivered"),0)</f>
        <v>55</v>
      </c>
      <c r="M14" s="2">
        <f t="shared" si="1"/>
        <v>6.99986</v>
      </c>
    </row>
    <row r="15" spans="1:13" x14ac:dyDescent="0.3">
      <c r="A15" s="37" t="s">
        <v>520</v>
      </c>
      <c r="B15" s="20" t="s">
        <v>149</v>
      </c>
      <c r="C15" s="20" t="s">
        <v>69</v>
      </c>
      <c r="D15" s="21">
        <v>45375</v>
      </c>
      <c r="E15" s="20" t="s">
        <v>507</v>
      </c>
      <c r="F15" s="22">
        <v>14000</v>
      </c>
      <c r="G15" s="2">
        <f>COUNTIF(Orders!$M$2:$M$221,$B15)</f>
        <v>10</v>
      </c>
      <c r="H15" s="2">
        <f>COUNTIFS(Orders!$M$2:$M$221,$B15,Orders!$N$2:$N$221,"Delivered")</f>
        <v>9</v>
      </c>
      <c r="I15" s="2">
        <f>COUNTIFS(Orders!$M$2:$M$221,$B15,Orders!$N$2:$N$221,"Delivered",Orders!$O$2:$O$221,"&lt;=45")</f>
        <v>4</v>
      </c>
      <c r="J15" s="5">
        <f t="shared" si="0"/>
        <v>0.44444444444444442</v>
      </c>
      <c r="K15" s="23">
        <f>IFERROR(AVERAGEIFS(Orders!$P$2:$P$221,Orders!$M$2:$M$221,$B15,Orders!$N$2:$N$221,"Delivered"),0)</f>
        <v>4</v>
      </c>
      <c r="L15" s="24">
        <f>IFERROR(AVERAGEIFS(Orders!$O$2:$O$221,Orders!$M$2:$M$221,$B15,Orders!$N$2:$N$221,"Delivered"),0)</f>
        <v>50.444444444444443</v>
      </c>
      <c r="M15" s="2">
        <f t="shared" si="1"/>
        <v>8.9998500000000003</v>
      </c>
    </row>
    <row r="16" spans="1:13" x14ac:dyDescent="0.3">
      <c r="A16" s="37" t="s">
        <v>521</v>
      </c>
      <c r="B16" s="20" t="s">
        <v>107</v>
      </c>
      <c r="C16" s="20" t="s">
        <v>69</v>
      </c>
      <c r="D16" s="21">
        <v>45789</v>
      </c>
      <c r="E16" s="20" t="s">
        <v>507</v>
      </c>
      <c r="F16" s="22">
        <v>17000</v>
      </c>
      <c r="G16" s="2">
        <f>COUNTIF(Orders!$M$2:$M$221,$B16)</f>
        <v>11</v>
      </c>
      <c r="H16" s="2">
        <f>COUNTIFS(Orders!$M$2:$M$221,$B16,Orders!$N$2:$N$221,"Delivered")</f>
        <v>10</v>
      </c>
      <c r="I16" s="2">
        <f>COUNTIFS(Orders!$M$2:$M$221,$B16,Orders!$N$2:$N$221,"Delivered",Orders!$O$2:$O$221,"&lt;=45")</f>
        <v>2</v>
      </c>
      <c r="J16" s="5">
        <f t="shared" si="0"/>
        <v>0.2</v>
      </c>
      <c r="K16" s="23">
        <f>IFERROR(AVERAGEIFS(Orders!$P$2:$P$221,Orders!$M$2:$M$221,$B16,Orders!$N$2:$N$221,"Delivered"),0)</f>
        <v>3.8</v>
      </c>
      <c r="L16" s="24">
        <f>IFERROR(AVERAGEIFS(Orders!$O$2:$O$221,Orders!$M$2:$M$221,$B16,Orders!$N$2:$N$221,"Delivered"),0)</f>
        <v>58.8</v>
      </c>
      <c r="M16" s="2">
        <f t="shared" si="1"/>
        <v>9.9998400000000007</v>
      </c>
    </row>
    <row r="17" spans="1:13" x14ac:dyDescent="0.3">
      <c r="A17" s="37" t="s">
        <v>522</v>
      </c>
      <c r="B17" s="20" t="s">
        <v>140</v>
      </c>
      <c r="C17" s="20" t="s">
        <v>77</v>
      </c>
      <c r="D17" s="21">
        <v>45494</v>
      </c>
      <c r="E17" s="20" t="s">
        <v>507</v>
      </c>
      <c r="F17" s="22">
        <v>16000</v>
      </c>
      <c r="G17" s="2">
        <f>COUNTIF(Orders!$M$2:$M$221,$B17)</f>
        <v>12</v>
      </c>
      <c r="H17" s="2">
        <f>COUNTIFS(Orders!$M$2:$M$221,$B17,Orders!$N$2:$N$221,"Delivered")</f>
        <v>11</v>
      </c>
      <c r="I17" s="2">
        <f>COUNTIFS(Orders!$M$2:$M$221,$B17,Orders!$N$2:$N$221,"Delivered",Orders!$O$2:$O$221,"&lt;=45")</f>
        <v>4</v>
      </c>
      <c r="J17" s="5">
        <f t="shared" si="0"/>
        <v>0.36363636363636365</v>
      </c>
      <c r="K17" s="23">
        <f>IFERROR(AVERAGEIFS(Orders!$P$2:$P$221,Orders!$M$2:$M$221,$B17,Orders!$N$2:$N$221,"Delivered"),0)</f>
        <v>4.5454545454545459</v>
      </c>
      <c r="L17" s="24">
        <f>IFERROR(AVERAGEIFS(Orders!$O$2:$O$221,Orders!$M$2:$M$221,$B17,Orders!$N$2:$N$221,"Delivered"),0)</f>
        <v>54</v>
      </c>
      <c r="M17" s="2">
        <f t="shared" si="1"/>
        <v>10.999829999999999</v>
      </c>
    </row>
    <row r="18" spans="1:13" x14ac:dyDescent="0.3">
      <c r="A18" s="37" t="s">
        <v>523</v>
      </c>
      <c r="B18" s="20" t="s">
        <v>91</v>
      </c>
      <c r="C18" s="20" t="s">
        <v>87</v>
      </c>
      <c r="D18" s="21">
        <v>45435</v>
      </c>
      <c r="E18" s="20" t="s">
        <v>507</v>
      </c>
      <c r="F18" s="22">
        <v>16000</v>
      </c>
      <c r="G18" s="2">
        <f>COUNTIF(Orders!$M$2:$M$221,$B18)</f>
        <v>9</v>
      </c>
      <c r="H18" s="2">
        <f>COUNTIFS(Orders!$M$2:$M$221,$B18,Orders!$N$2:$N$221,"Delivered")</f>
        <v>8</v>
      </c>
      <c r="I18" s="2">
        <f>COUNTIFS(Orders!$M$2:$M$221,$B18,Orders!$N$2:$N$221,"Delivered",Orders!$O$2:$O$221,"&lt;=45")</f>
        <v>1</v>
      </c>
      <c r="J18" s="5">
        <f t="shared" si="0"/>
        <v>0.125</v>
      </c>
      <c r="K18" s="23">
        <f>IFERROR(AVERAGEIFS(Orders!$P$2:$P$221,Orders!$M$2:$M$221,$B18,Orders!$N$2:$N$221,"Delivered"),0)</f>
        <v>3.5</v>
      </c>
      <c r="L18" s="24">
        <f>IFERROR(AVERAGEIFS(Orders!$O$2:$O$221,Orders!$M$2:$M$221,$B18,Orders!$N$2:$N$221,"Delivered"),0)</f>
        <v>71.75</v>
      </c>
      <c r="M18" s="2">
        <f t="shared" si="1"/>
        <v>7.9998199999999997</v>
      </c>
    </row>
    <row r="19" spans="1:13" x14ac:dyDescent="0.3">
      <c r="A19" s="37" t="s">
        <v>524</v>
      </c>
      <c r="B19" s="20" t="s">
        <v>82</v>
      </c>
      <c r="C19" s="20" t="s">
        <v>97</v>
      </c>
      <c r="D19" s="21">
        <v>45711</v>
      </c>
      <c r="E19" s="20" t="s">
        <v>507</v>
      </c>
      <c r="F19" s="22">
        <v>15000</v>
      </c>
      <c r="G19" s="2">
        <f>COUNTIF(Orders!$M$2:$M$221,$B19)</f>
        <v>11</v>
      </c>
      <c r="H19" s="2">
        <f>COUNTIFS(Orders!$M$2:$M$221,$B19,Orders!$N$2:$N$221,"Delivered")</f>
        <v>11</v>
      </c>
      <c r="I19" s="2">
        <f>COUNTIFS(Orders!$M$2:$M$221,$B19,Orders!$N$2:$N$221,"Delivered",Orders!$O$2:$O$221,"&lt;=45")</f>
        <v>4</v>
      </c>
      <c r="J19" s="5">
        <f t="shared" si="0"/>
        <v>0.36363636363636365</v>
      </c>
      <c r="K19" s="23">
        <f>IFERROR(AVERAGEIFS(Orders!$P$2:$P$221,Orders!$M$2:$M$221,$B19,Orders!$N$2:$N$221,"Delivered"),0)</f>
        <v>4.0909090909090908</v>
      </c>
      <c r="L19" s="24">
        <f>IFERROR(AVERAGEIFS(Orders!$O$2:$O$221,Orders!$M$2:$M$221,$B19,Orders!$N$2:$N$221,"Delivered"),0)</f>
        <v>54.18181818181818</v>
      </c>
      <c r="M19" s="2">
        <f t="shared" si="1"/>
        <v>10.99981</v>
      </c>
    </row>
    <row r="20" spans="1:13" x14ac:dyDescent="0.3">
      <c r="A20" s="37" t="s">
        <v>525</v>
      </c>
      <c r="B20" s="20" t="s">
        <v>200</v>
      </c>
      <c r="C20" s="20" t="s">
        <v>69</v>
      </c>
      <c r="D20" s="21">
        <v>45625</v>
      </c>
      <c r="E20" s="20" t="s">
        <v>507</v>
      </c>
      <c r="F20" s="22">
        <v>17000</v>
      </c>
      <c r="G20" s="2">
        <f>COUNTIF(Orders!$M$2:$M$221,$B20)</f>
        <v>13</v>
      </c>
      <c r="H20" s="2">
        <f>COUNTIFS(Orders!$M$2:$M$221,$B20,Orders!$N$2:$N$221,"Delivered")</f>
        <v>11</v>
      </c>
      <c r="I20" s="2">
        <f>COUNTIFS(Orders!$M$2:$M$221,$B20,Orders!$N$2:$N$221,"Delivered",Orders!$O$2:$O$221,"&lt;=45")</f>
        <v>4</v>
      </c>
      <c r="J20" s="5">
        <f t="shared" si="0"/>
        <v>0.36363636363636365</v>
      </c>
      <c r="K20" s="23">
        <f>IFERROR(AVERAGEIFS(Orders!$P$2:$P$221,Orders!$M$2:$M$221,$B20,Orders!$N$2:$N$221,"Delivered"),0)</f>
        <v>4.1818181818181817</v>
      </c>
      <c r="L20" s="24">
        <f>IFERROR(AVERAGEIFS(Orders!$O$2:$O$221,Orders!$M$2:$M$221,$B20,Orders!$N$2:$N$221,"Delivered"),0)</f>
        <v>54.363636363636367</v>
      </c>
      <c r="M20" s="2">
        <f t="shared" si="1"/>
        <v>10.9998</v>
      </c>
    </row>
    <row r="21" spans="1:13" x14ac:dyDescent="0.3">
      <c r="A21" s="37" t="s">
        <v>526</v>
      </c>
      <c r="B21" s="20" t="s">
        <v>143</v>
      </c>
      <c r="C21" s="20" t="s">
        <v>69</v>
      </c>
      <c r="D21" s="21">
        <v>45490</v>
      </c>
      <c r="E21" s="20" t="s">
        <v>507</v>
      </c>
      <c r="F21" s="22">
        <v>14000</v>
      </c>
      <c r="G21" s="2">
        <f>COUNTIF(Orders!$M$2:$M$221,$B21)</f>
        <v>7</v>
      </c>
      <c r="H21" s="2">
        <f>COUNTIFS(Orders!$M$2:$M$221,$B21,Orders!$N$2:$N$221,"Delivered")</f>
        <v>7</v>
      </c>
      <c r="I21" s="2">
        <f>COUNTIFS(Orders!$M$2:$M$221,$B21,Orders!$N$2:$N$221,"Delivered",Orders!$O$2:$O$221,"&lt;=45")</f>
        <v>0</v>
      </c>
      <c r="J21" s="5">
        <f t="shared" si="0"/>
        <v>0</v>
      </c>
      <c r="K21" s="23">
        <f>IFERROR(AVERAGEIFS(Orders!$P$2:$P$221,Orders!$M$2:$M$221,$B21,Orders!$N$2:$N$221,"Delivered"),0)</f>
        <v>3.8571428571428572</v>
      </c>
      <c r="L21" s="24">
        <f>IFERROR(AVERAGEIFS(Orders!$O$2:$O$221,Orders!$M$2:$M$221,$B21,Orders!$N$2:$N$221,"Delivered"),0)</f>
        <v>67.285714285714292</v>
      </c>
      <c r="M21" s="2">
        <f t="shared" si="1"/>
        <v>6.99979</v>
      </c>
    </row>
  </sheetData>
  <conditionalFormatting sqref="J2:J21">
    <cfRule type="colorScale" priority="2">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legacy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B2:R22"/>
  <sheetViews>
    <sheetView showGridLines="0" zoomScaleNormal="100" workbookViewId="0">
      <selection activeCell="J19" sqref="J19"/>
    </sheetView>
  </sheetViews>
  <sheetFormatPr defaultColWidth="8.6640625" defaultRowHeight="14.4" x14ac:dyDescent="0.3"/>
  <cols>
    <col min="1" max="1" width="2" customWidth="1"/>
    <col min="2" max="2" width="20" customWidth="1"/>
    <col min="3" max="4" width="15" customWidth="1"/>
    <col min="5" max="7" width="20" customWidth="1"/>
    <col min="8" max="8" width="12" customWidth="1"/>
    <col min="9" max="10" width="20" customWidth="1"/>
    <col min="14" max="18" width="13" hidden="1" customWidth="1"/>
  </cols>
  <sheetData>
    <row r="2" spans="2:18" ht="16.8" x14ac:dyDescent="0.3">
      <c r="B2" s="48" t="s">
        <v>527</v>
      </c>
      <c r="C2" s="48"/>
      <c r="D2" s="48"/>
      <c r="E2" s="48"/>
      <c r="F2" s="48"/>
      <c r="G2" s="48"/>
      <c r="H2" s="48"/>
      <c r="I2" s="48"/>
      <c r="J2" s="48"/>
    </row>
    <row r="4" spans="2:18" ht="15.6" x14ac:dyDescent="0.3">
      <c r="B4" s="1" t="s">
        <v>528</v>
      </c>
    </row>
    <row r="5" spans="2:18" ht="39.75" customHeight="1" x14ac:dyDescent="0.3">
      <c r="B5" s="29" t="s">
        <v>20</v>
      </c>
      <c r="C5" s="29" t="s">
        <v>529</v>
      </c>
      <c r="D5" s="29" t="s">
        <v>530</v>
      </c>
      <c r="E5" s="29" t="s">
        <v>531</v>
      </c>
      <c r="F5" s="29" t="s">
        <v>532</v>
      </c>
      <c r="G5" s="29" t="s">
        <v>533</v>
      </c>
      <c r="H5" s="29" t="s">
        <v>534</v>
      </c>
      <c r="I5" s="29" t="s">
        <v>535</v>
      </c>
      <c r="J5" s="29" t="s">
        <v>536</v>
      </c>
    </row>
    <row r="6" spans="2:18" x14ac:dyDescent="0.3">
      <c r="B6" s="30" t="s">
        <v>28</v>
      </c>
      <c r="C6" s="2">
        <f>COUNTIFS(Orders!$Q$2:$Q$221,$B6,Orders!$Z$2:$Z$221,C$5)</f>
        <v>3</v>
      </c>
      <c r="D6" s="2">
        <f>COUNTIFS(Orders!$Q$2:$Q$221,$B6,Orders!$Z$2:$Z$221,D$5)</f>
        <v>3</v>
      </c>
      <c r="E6" s="2">
        <f>COUNTIFS(Orders!$Q$2:$Q$221,$B6,Orders!$Z$2:$Z$221,E$5)</f>
        <v>1</v>
      </c>
      <c r="F6" s="2">
        <f>COUNTIFS(Orders!$Q$2:$Q$221,$B6,Orders!$Z$2:$Z$221,F$5)</f>
        <v>0</v>
      </c>
      <c r="G6" s="2">
        <f>COUNTIFS(Orders!$Q$2:$Q$221,$B6,Orders!$Z$2:$Z$221,G$5)</f>
        <v>0</v>
      </c>
      <c r="H6" s="30">
        <f t="shared" ref="H6:H11" si="0">SUM(C6:G6)</f>
        <v>7</v>
      </c>
      <c r="I6" s="2" t="str">
        <f t="shared" ref="I6:I11" si="1">IF(H6=0,"No Losses",INDEX($C$5:$G$5,MATCH(MAX(C6:G6),C6:G6,0)))</f>
        <v>Order Cancelled</v>
      </c>
      <c r="J6" s="2" t="str">
        <f t="shared" ref="J6:J11" si="2">IF(H6=0,"No Losses",INDEX($C$5:$G$5,MATCH(MIN(N6:R6),N6:R6,0)))</f>
        <v>High Discount</v>
      </c>
      <c r="N6">
        <f t="shared" ref="N6:R11" si="3">IF(C6=0,99999,C6)</f>
        <v>3</v>
      </c>
      <c r="O6">
        <f t="shared" si="3"/>
        <v>3</v>
      </c>
      <c r="P6">
        <f t="shared" si="3"/>
        <v>1</v>
      </c>
      <c r="Q6">
        <f t="shared" si="3"/>
        <v>99999</v>
      </c>
      <c r="R6">
        <f t="shared" si="3"/>
        <v>99999</v>
      </c>
    </row>
    <row r="7" spans="2:18" x14ac:dyDescent="0.3">
      <c r="B7" s="30" t="s">
        <v>29</v>
      </c>
      <c r="C7" s="2">
        <f>COUNTIFS(Orders!$Q$2:$Q$221,$B7,Orders!$Z$2:$Z$221,C$5)</f>
        <v>3</v>
      </c>
      <c r="D7" s="2">
        <f>COUNTIFS(Orders!$Q$2:$Q$221,$B7,Orders!$Z$2:$Z$221,D$5)</f>
        <v>2</v>
      </c>
      <c r="E7" s="2">
        <f>COUNTIFS(Orders!$Q$2:$Q$221,$B7,Orders!$Z$2:$Z$221,E$5)</f>
        <v>2</v>
      </c>
      <c r="F7" s="2">
        <f>COUNTIFS(Orders!$Q$2:$Q$221,$B7,Orders!$Z$2:$Z$221,F$5)</f>
        <v>0</v>
      </c>
      <c r="G7" s="2">
        <f>COUNTIFS(Orders!$Q$2:$Q$221,$B7,Orders!$Z$2:$Z$221,G$5)</f>
        <v>0</v>
      </c>
      <c r="H7" s="30">
        <f t="shared" si="0"/>
        <v>7</v>
      </c>
      <c r="I7" s="2" t="str">
        <f t="shared" si="1"/>
        <v>Order Cancelled</v>
      </c>
      <c r="J7" s="2" t="str">
        <f t="shared" si="2"/>
        <v>Order Returned</v>
      </c>
      <c r="N7">
        <f t="shared" si="3"/>
        <v>3</v>
      </c>
      <c r="O7">
        <f t="shared" si="3"/>
        <v>2</v>
      </c>
      <c r="P7">
        <f t="shared" si="3"/>
        <v>2</v>
      </c>
      <c r="Q7">
        <f t="shared" si="3"/>
        <v>99999</v>
      </c>
      <c r="R7">
        <f t="shared" si="3"/>
        <v>99999</v>
      </c>
    </row>
    <row r="8" spans="2:18" x14ac:dyDescent="0.3">
      <c r="B8" s="30" t="s">
        <v>30</v>
      </c>
      <c r="C8" s="2">
        <f>COUNTIFS(Orders!$Q$2:$Q$221,$B8,Orders!$Z$2:$Z$221,C$5)</f>
        <v>2</v>
      </c>
      <c r="D8" s="2">
        <f>COUNTIFS(Orders!$Q$2:$Q$221,$B8,Orders!$Z$2:$Z$221,D$5)</f>
        <v>4</v>
      </c>
      <c r="E8" s="2">
        <f>COUNTIFS(Orders!$Q$2:$Q$221,$B8,Orders!$Z$2:$Z$221,E$5)</f>
        <v>3</v>
      </c>
      <c r="F8" s="2">
        <f>COUNTIFS(Orders!$Q$2:$Q$221,$B8,Orders!$Z$2:$Z$221,F$5)</f>
        <v>0</v>
      </c>
      <c r="G8" s="2">
        <f>COUNTIFS(Orders!$Q$2:$Q$221,$B8,Orders!$Z$2:$Z$221,G$5)</f>
        <v>0</v>
      </c>
      <c r="H8" s="30">
        <f t="shared" si="0"/>
        <v>9</v>
      </c>
      <c r="I8" s="2" t="str">
        <f t="shared" si="1"/>
        <v>Order Returned</v>
      </c>
      <c r="J8" s="2" t="str">
        <f t="shared" si="2"/>
        <v>Order Cancelled</v>
      </c>
      <c r="N8">
        <f t="shared" si="3"/>
        <v>2</v>
      </c>
      <c r="O8">
        <f t="shared" si="3"/>
        <v>4</v>
      </c>
      <c r="P8">
        <f t="shared" si="3"/>
        <v>3</v>
      </c>
      <c r="Q8">
        <f t="shared" si="3"/>
        <v>99999</v>
      </c>
      <c r="R8">
        <f t="shared" si="3"/>
        <v>99999</v>
      </c>
    </row>
    <row r="9" spans="2:18" x14ac:dyDescent="0.3">
      <c r="B9" s="30" t="s">
        <v>31</v>
      </c>
      <c r="C9" s="2">
        <f>COUNTIFS(Orders!$Q$2:$Q$221,$B9,Orders!$Z$2:$Z$221,C$5)</f>
        <v>3</v>
      </c>
      <c r="D9" s="2">
        <f>COUNTIFS(Orders!$Q$2:$Q$221,$B9,Orders!$Z$2:$Z$221,D$5)</f>
        <v>2</v>
      </c>
      <c r="E9" s="2">
        <f>COUNTIFS(Orders!$Q$2:$Q$221,$B9,Orders!$Z$2:$Z$221,E$5)</f>
        <v>2</v>
      </c>
      <c r="F9" s="2">
        <f>COUNTIFS(Orders!$Q$2:$Q$221,$B9,Orders!$Z$2:$Z$221,F$5)</f>
        <v>0</v>
      </c>
      <c r="G9" s="2">
        <f>COUNTIFS(Orders!$Q$2:$Q$221,$B9,Orders!$Z$2:$Z$221,G$5)</f>
        <v>0</v>
      </c>
      <c r="H9" s="30">
        <f t="shared" si="0"/>
        <v>7</v>
      </c>
      <c r="I9" s="2" t="str">
        <f t="shared" si="1"/>
        <v>Order Cancelled</v>
      </c>
      <c r="J9" s="2" t="str">
        <f t="shared" si="2"/>
        <v>Order Returned</v>
      </c>
      <c r="N9">
        <f t="shared" si="3"/>
        <v>3</v>
      </c>
      <c r="O9">
        <f t="shared" si="3"/>
        <v>2</v>
      </c>
      <c r="P9">
        <f t="shared" si="3"/>
        <v>2</v>
      </c>
      <c r="Q9">
        <f t="shared" si="3"/>
        <v>99999</v>
      </c>
      <c r="R9">
        <f t="shared" si="3"/>
        <v>99999</v>
      </c>
    </row>
    <row r="10" spans="2:18" x14ac:dyDescent="0.3">
      <c r="B10" s="30" t="s">
        <v>32</v>
      </c>
      <c r="C10" s="2">
        <f>COUNTIFS(Orders!$Q$2:$Q$221,$B10,Orders!$Z$2:$Z$221,C$5)</f>
        <v>0</v>
      </c>
      <c r="D10" s="2">
        <f>COUNTIFS(Orders!$Q$2:$Q$221,$B10,Orders!$Z$2:$Z$221,D$5)</f>
        <v>2</v>
      </c>
      <c r="E10" s="2">
        <f>COUNTIFS(Orders!$Q$2:$Q$221,$B10,Orders!$Z$2:$Z$221,E$5)</f>
        <v>1</v>
      </c>
      <c r="F10" s="2">
        <f>COUNTIFS(Orders!$Q$2:$Q$221,$B10,Orders!$Z$2:$Z$221,F$5)</f>
        <v>0</v>
      </c>
      <c r="G10" s="2">
        <f>COUNTIFS(Orders!$Q$2:$Q$221,$B10,Orders!$Z$2:$Z$221,G$5)</f>
        <v>0</v>
      </c>
      <c r="H10" s="30">
        <f t="shared" si="0"/>
        <v>3</v>
      </c>
      <c r="I10" s="2" t="str">
        <f t="shared" si="1"/>
        <v>Order Returned</v>
      </c>
      <c r="J10" s="2" t="str">
        <f t="shared" si="2"/>
        <v>High Discount</v>
      </c>
      <c r="N10">
        <f t="shared" si="3"/>
        <v>99999</v>
      </c>
      <c r="O10">
        <f t="shared" si="3"/>
        <v>2</v>
      </c>
      <c r="P10">
        <f t="shared" si="3"/>
        <v>1</v>
      </c>
      <c r="Q10">
        <f t="shared" si="3"/>
        <v>99999</v>
      </c>
      <c r="R10">
        <f t="shared" si="3"/>
        <v>99999</v>
      </c>
    </row>
    <row r="11" spans="2:18" x14ac:dyDescent="0.3">
      <c r="B11" s="30" t="s">
        <v>33</v>
      </c>
      <c r="C11" s="2">
        <f>COUNTIFS(Orders!$Q$2:$Q$221,$B11,Orders!$Z$2:$Z$221,C$5)</f>
        <v>1</v>
      </c>
      <c r="D11" s="2">
        <f>COUNTIFS(Orders!$Q$2:$Q$221,$B11,Orders!$Z$2:$Z$221,D$5)</f>
        <v>3</v>
      </c>
      <c r="E11" s="2">
        <f>COUNTIFS(Orders!$Q$2:$Q$221,$B11,Orders!$Z$2:$Z$221,E$5)</f>
        <v>1</v>
      </c>
      <c r="F11" s="2">
        <f>COUNTIFS(Orders!$Q$2:$Q$221,$B11,Orders!$Z$2:$Z$221,F$5)</f>
        <v>0</v>
      </c>
      <c r="G11" s="2">
        <f>COUNTIFS(Orders!$Q$2:$Q$221,$B11,Orders!$Z$2:$Z$221,G$5)</f>
        <v>0</v>
      </c>
      <c r="H11" s="30">
        <f t="shared" si="0"/>
        <v>5</v>
      </c>
      <c r="I11" s="2" t="str">
        <f t="shared" si="1"/>
        <v>Order Returned</v>
      </c>
      <c r="J11" s="2" t="str">
        <f t="shared" si="2"/>
        <v>Order Cancelled</v>
      </c>
      <c r="N11">
        <f t="shared" si="3"/>
        <v>1</v>
      </c>
      <c r="O11">
        <f t="shared" si="3"/>
        <v>3</v>
      </c>
      <c r="P11">
        <f t="shared" si="3"/>
        <v>1</v>
      </c>
      <c r="Q11">
        <f t="shared" si="3"/>
        <v>99999</v>
      </c>
      <c r="R11">
        <f t="shared" si="3"/>
        <v>99999</v>
      </c>
    </row>
    <row r="12" spans="2:18" x14ac:dyDescent="0.3">
      <c r="B12" s="35" t="s">
        <v>7</v>
      </c>
      <c r="C12" s="31">
        <f t="shared" ref="C12:H12" si="4">SUM(C6:C11)</f>
        <v>12</v>
      </c>
      <c r="D12" s="31">
        <f t="shared" si="4"/>
        <v>16</v>
      </c>
      <c r="E12" s="31">
        <f t="shared" si="4"/>
        <v>10</v>
      </c>
      <c r="F12" s="31">
        <f t="shared" si="4"/>
        <v>0</v>
      </c>
      <c r="G12" s="31">
        <f t="shared" si="4"/>
        <v>0</v>
      </c>
      <c r="H12" s="31">
        <f t="shared" si="4"/>
        <v>38</v>
      </c>
    </row>
    <row r="15" spans="2:18" ht="15.6" x14ac:dyDescent="0.3">
      <c r="B15" s="1" t="s">
        <v>537</v>
      </c>
    </row>
    <row r="16" spans="2:18" x14ac:dyDescent="0.3">
      <c r="B16" s="32" t="s">
        <v>26</v>
      </c>
      <c r="C16" s="32" t="s">
        <v>538</v>
      </c>
      <c r="D16" s="32" t="s">
        <v>27</v>
      </c>
      <c r="E16" s="32" t="s">
        <v>539</v>
      </c>
    </row>
    <row r="17" spans="2:5" x14ac:dyDescent="0.3">
      <c r="B17" s="2" t="s">
        <v>529</v>
      </c>
      <c r="C17" s="2">
        <f>COUNTIF(Orders!$Z$2:$Z$221,B17)</f>
        <v>12</v>
      </c>
      <c r="D17" s="33">
        <f>SUMIF(Orders!$Z$2:$Z$221,B17,Orders!$X$2:$X$221)</f>
        <v>180</v>
      </c>
      <c r="E17" s="33">
        <f>IFERROR(D17/C17,0)</f>
        <v>15</v>
      </c>
    </row>
    <row r="18" spans="2:5" x14ac:dyDescent="0.3">
      <c r="B18" s="2" t="s">
        <v>530</v>
      </c>
      <c r="C18" s="2">
        <f>COUNTIF(Orders!$Z$2:$Z$221,B18)</f>
        <v>16</v>
      </c>
      <c r="D18" s="33">
        <f>SUMIF(Orders!$Z$2:$Z$221,B18,Orders!$X$2:$X$221)</f>
        <v>31280.264800000001</v>
      </c>
      <c r="E18" s="33">
        <f>IFERROR(D18/C18,0)</f>
        <v>1955.0165500000001</v>
      </c>
    </row>
    <row r="19" spans="2:5" x14ac:dyDescent="0.3">
      <c r="B19" s="2" t="s">
        <v>531</v>
      </c>
      <c r="C19" s="2">
        <f>COUNTIF(Orders!$Z$2:$Z$221,B19)</f>
        <v>10</v>
      </c>
      <c r="D19" s="33">
        <f>SUMIF(Orders!$Z$2:$Z$221,B19,Orders!$X$2:$X$221)</f>
        <v>3181.9694999999992</v>
      </c>
      <c r="E19" s="33">
        <f>IFERROR(D19/C19,0)</f>
        <v>318.1969499999999</v>
      </c>
    </row>
    <row r="20" spans="2:5" x14ac:dyDescent="0.3">
      <c r="B20" s="2" t="s">
        <v>532</v>
      </c>
      <c r="C20" s="2">
        <f>COUNTIF(Orders!$Z$2:$Z$221,B20)</f>
        <v>0</v>
      </c>
      <c r="D20" s="33">
        <f>SUMIF(Orders!$Z$2:$Z$221,B20,Orders!$X$2:$X$221)</f>
        <v>0</v>
      </c>
      <c r="E20" s="33">
        <f>IFERROR(D20/C20,0)</f>
        <v>0</v>
      </c>
    </row>
    <row r="21" spans="2:5" x14ac:dyDescent="0.3">
      <c r="B21" s="2" t="s">
        <v>533</v>
      </c>
      <c r="C21" s="2">
        <f>COUNTIF(Orders!$Z$2:$Z$221,B21)</f>
        <v>0</v>
      </c>
      <c r="D21" s="33">
        <f>SUMIF(Orders!$Z$2:$Z$221,B21,Orders!$X$2:$X$221)</f>
        <v>0</v>
      </c>
      <c r="E21" s="33">
        <f>IFERROR(D21/C21,0)</f>
        <v>0</v>
      </c>
    </row>
    <row r="22" spans="2:5" x14ac:dyDescent="0.3">
      <c r="B22" s="31" t="s">
        <v>7</v>
      </c>
      <c r="C22" s="31">
        <f>SUM(C17:C21)</f>
        <v>38</v>
      </c>
      <c r="D22" s="34">
        <f>SUM(D17:D21)</f>
        <v>34642.234299999996</v>
      </c>
    </row>
  </sheetData>
  <mergeCells count="1">
    <mergeCell ref="B2:J2"/>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8214E-58F7-4243-A443-5DB6A871A16F}">
  <sheetPr>
    <pageSetUpPr fitToPage="1"/>
  </sheetPr>
  <dimension ref="A1:AF29"/>
  <sheetViews>
    <sheetView showGridLines="0" zoomScale="70" zoomScaleNormal="70" workbookViewId="0">
      <selection activeCell="AI21" sqref="AI21"/>
    </sheetView>
  </sheetViews>
  <sheetFormatPr defaultRowHeight="13.8" x14ac:dyDescent="0.3"/>
  <cols>
    <col min="1" max="30" width="8.109375" style="11" customWidth="1"/>
    <col min="31" max="31" width="8.88671875" style="11"/>
    <col min="32" max="32" width="9.109375" style="11" hidden="1" customWidth="1"/>
    <col min="33" max="33" width="0" style="11" hidden="1" customWidth="1"/>
    <col min="34" max="16384" width="8.88671875" style="11"/>
  </cols>
  <sheetData>
    <row r="1" spans="1:32" ht="22.05" customHeight="1" x14ac:dyDescent="0.3">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row>
    <row r="2" spans="1:32" ht="22.05" customHeight="1" x14ac:dyDescent="0.3">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c r="AD2" s="17"/>
      <c r="AF2" s="12">
        <f>IFERROR(GETPIVOTDATA("Sum of Net Revenue",Pivot!$A$25),0)</f>
        <v>382675.05350000015</v>
      </c>
    </row>
    <row r="3" spans="1:32" ht="22.05" customHeight="1" x14ac:dyDescent="0.3">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F3" s="12">
        <f>IFERROR(GETPIVOTDATA("Sum of Net Profit",Pivot!$A$25),0)</f>
        <v>42519.871099999946</v>
      </c>
    </row>
    <row r="4" spans="1:32" ht="18" customHeight="1" x14ac:dyDescent="0.3">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F4" s="13">
        <f>IFERROR(AF3/AF2,0)</f>
        <v>0.11111221050629559</v>
      </c>
    </row>
    <row r="5" spans="1:32" ht="18" customHeight="1" x14ac:dyDescent="0.3">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F5" s="14">
        <f>IFERROR(GETPIVOTDATA("Count of Orders",Pivot!$A$25),0)</f>
        <v>220</v>
      </c>
    </row>
    <row r="6" spans="1:32" ht="18" customHeight="1" x14ac:dyDescent="0.3">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c r="AD6" s="17"/>
      <c r="AF6" s="15">
        <f>IFERROR(GETPIVOTDATA("Average of Delivery Time",Pivot!$A$25),0)</f>
        <v>56.52403846153846</v>
      </c>
    </row>
    <row r="7" spans="1:32" ht="18" customHeight="1" x14ac:dyDescent="0.3">
      <c r="A7" s="17"/>
      <c r="B7" s="17"/>
      <c r="C7" s="17"/>
      <c r="D7" s="17"/>
      <c r="E7" s="17"/>
      <c r="F7" s="17"/>
      <c r="G7" s="17"/>
      <c r="H7" s="17"/>
      <c r="I7" s="17"/>
      <c r="J7" s="17"/>
      <c r="K7" s="17"/>
      <c r="L7" s="17"/>
      <c r="M7" s="17"/>
      <c r="N7" s="17"/>
      <c r="O7" s="17"/>
      <c r="P7" s="17"/>
      <c r="Q7" s="17"/>
      <c r="R7" s="17"/>
      <c r="S7" s="17"/>
      <c r="T7" s="17"/>
      <c r="U7" s="17"/>
      <c r="V7" s="17"/>
      <c r="W7" s="17"/>
      <c r="X7" s="17"/>
      <c r="Y7" s="17"/>
      <c r="Z7" s="17"/>
      <c r="AA7" s="17"/>
      <c r="AB7" s="17"/>
      <c r="AC7" s="17"/>
      <c r="AD7" s="17"/>
      <c r="AF7" s="16">
        <f>IFERROR(GETPIVOTDATA("Average of Rating",Pivot!$A$25),0)</f>
        <v>3.9038461538461537</v>
      </c>
    </row>
    <row r="8" spans="1:32" ht="18" customHeight="1" x14ac:dyDescent="0.3">
      <c r="A8" s="17"/>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row>
    <row r="9" spans="1:32" ht="18" customHeight="1" x14ac:dyDescent="0.3">
      <c r="A9" s="17"/>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row>
    <row r="10" spans="1:32" ht="18" customHeight="1" x14ac:dyDescent="0.3">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row>
    <row r="11" spans="1:32" ht="18" customHeight="1" x14ac:dyDescent="0.3">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row>
    <row r="12" spans="1:32" ht="18" customHeight="1" x14ac:dyDescent="0.3">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c r="AD12" s="17"/>
    </row>
    <row r="13" spans="1:32" ht="18" customHeight="1" x14ac:dyDescent="0.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row>
    <row r="14" spans="1:32" ht="18" customHeight="1"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row>
    <row r="15" spans="1:32" ht="18" customHeight="1"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row>
    <row r="16" spans="1:32" ht="18" customHeight="1" x14ac:dyDescent="0.3">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row>
    <row r="17" spans="1:30" ht="18" customHeight="1" x14ac:dyDescent="0.3">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c r="AD17" s="17"/>
    </row>
    <row r="18" spans="1:30" ht="18" customHeight="1" x14ac:dyDescent="0.3">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row>
    <row r="19" spans="1:30" ht="18" customHeight="1" x14ac:dyDescent="0.3">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row>
    <row r="20" spans="1:30" ht="18" customHeight="1" x14ac:dyDescent="0.3">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row>
    <row r="21" spans="1:30" ht="18" customHeight="1" x14ac:dyDescent="0.3">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row>
    <row r="22" spans="1:30" ht="18" customHeight="1" x14ac:dyDescent="0.3">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row>
    <row r="23" spans="1:30" ht="18" customHeight="1" x14ac:dyDescent="0.3">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row>
    <row r="24" spans="1:30" ht="18" customHeight="1" x14ac:dyDescent="0.3">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row>
    <row r="25" spans="1:30" ht="18" customHeight="1" x14ac:dyDescent="0.3">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c r="AD25" s="17"/>
    </row>
    <row r="26" spans="1:30" ht="18" customHeight="1" x14ac:dyDescent="0.3">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row>
    <row r="27" spans="1:30" ht="18" customHeight="1" x14ac:dyDescent="0.3">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c r="AD27" s="17"/>
    </row>
    <row r="28" spans="1:30" ht="18" customHeight="1" x14ac:dyDescent="0.3">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c r="AD28" s="17"/>
    </row>
    <row r="29" spans="1:30" ht="18" customHeight="1" x14ac:dyDescent="0.3">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c r="AD29" s="17"/>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Z221"/>
  <sheetViews>
    <sheetView showGridLines="0" topLeftCell="K1" zoomScaleNormal="100" workbookViewId="0">
      <pane ySplit="1" topLeftCell="A2" activePane="bottomLeft" state="frozen"/>
      <selection pane="bottomLeft" activeCell="U214" sqref="U214"/>
    </sheetView>
  </sheetViews>
  <sheetFormatPr defaultColWidth="8.6640625" defaultRowHeight="14.4" x14ac:dyDescent="0.3"/>
  <cols>
    <col min="1" max="1" width="13.5546875" bestFit="1" customWidth="1"/>
    <col min="2" max="2" width="16" bestFit="1" customWidth="1"/>
    <col min="3" max="3" width="21.33203125" bestFit="1" customWidth="1"/>
    <col min="4" max="4" width="12" bestFit="1" customWidth="1"/>
    <col min="5" max="5" width="13.44140625" bestFit="1" customWidth="1"/>
    <col min="6" max="6" width="15.21875" bestFit="1" customWidth="1"/>
    <col min="7" max="7" width="10.88671875" bestFit="1" customWidth="1"/>
    <col min="8" max="8" width="20.21875" bestFit="1" customWidth="1"/>
    <col min="9" max="9" width="16.44140625" bestFit="1" customWidth="1"/>
    <col min="10" max="10" width="15.44140625" bestFit="1" customWidth="1"/>
    <col min="11" max="11" width="21.21875" bestFit="1" customWidth="1"/>
    <col min="12" max="12" width="15.33203125" bestFit="1" customWidth="1"/>
    <col min="13" max="14" width="13.6640625" bestFit="1" customWidth="1"/>
    <col min="15" max="15" width="19.21875" bestFit="1" customWidth="1"/>
    <col min="16" max="16" width="16.44140625" bestFit="1" customWidth="1"/>
    <col min="17" max="17" width="11.44140625" bestFit="1" customWidth="1"/>
    <col min="18" max="18" width="14.77734375" bestFit="1" customWidth="1"/>
    <col min="19" max="19" width="15.77734375" bestFit="1" customWidth="1"/>
    <col min="20" max="20" width="18.33203125" bestFit="1" customWidth="1"/>
    <col min="21" max="21" width="24.33203125" bestFit="1" customWidth="1"/>
    <col min="22" max="22" width="13.6640625" bestFit="1" customWidth="1"/>
    <col min="23" max="24" width="13.109375" bestFit="1" customWidth="1"/>
    <col min="25" max="25" width="12.5546875" bestFit="1" customWidth="1"/>
    <col min="26" max="26" width="16.77734375" bestFit="1" customWidth="1"/>
  </cols>
  <sheetData>
    <row r="1" spans="1:26" s="9" customFormat="1" ht="30" customHeight="1" x14ac:dyDescent="0.3">
      <c r="A1" s="8" t="s">
        <v>50</v>
      </c>
      <c r="B1" s="8" t="s">
        <v>51</v>
      </c>
      <c r="C1" s="8" t="s">
        <v>52</v>
      </c>
      <c r="D1" s="8" t="s">
        <v>53</v>
      </c>
      <c r="E1" s="8" t="s">
        <v>1</v>
      </c>
      <c r="F1" s="8" t="s">
        <v>2</v>
      </c>
      <c r="G1" s="8" t="s">
        <v>54</v>
      </c>
      <c r="H1" s="8" t="s">
        <v>55</v>
      </c>
      <c r="I1" s="8" t="s">
        <v>56</v>
      </c>
      <c r="J1" s="8" t="s">
        <v>57</v>
      </c>
      <c r="K1" s="8" t="s">
        <v>58</v>
      </c>
      <c r="L1" s="8" t="s">
        <v>12</v>
      </c>
      <c r="M1" s="8" t="s">
        <v>59</v>
      </c>
      <c r="N1" s="8" t="s">
        <v>60</v>
      </c>
      <c r="O1" s="8" t="s">
        <v>61</v>
      </c>
      <c r="P1" s="8" t="s">
        <v>62</v>
      </c>
      <c r="Q1" s="8" t="s">
        <v>20</v>
      </c>
      <c r="R1" s="8" t="s">
        <v>63</v>
      </c>
      <c r="S1" s="8" t="s">
        <v>64</v>
      </c>
      <c r="T1" s="8" t="s">
        <v>21</v>
      </c>
      <c r="U1" s="8" t="s">
        <v>65</v>
      </c>
      <c r="V1" s="8" t="s">
        <v>22</v>
      </c>
      <c r="W1" s="8" t="s">
        <v>23</v>
      </c>
      <c r="X1" s="8" t="s">
        <v>24</v>
      </c>
      <c r="Y1" s="8" t="s">
        <v>25</v>
      </c>
      <c r="Z1" s="8" t="s">
        <v>66</v>
      </c>
    </row>
    <row r="2" spans="1:26" x14ac:dyDescent="0.3">
      <c r="A2" s="2" t="s">
        <v>67</v>
      </c>
      <c r="B2" s="6">
        <v>46024.934722222199</v>
      </c>
      <c r="C2" s="2" t="s">
        <v>68</v>
      </c>
      <c r="D2" s="2" t="s">
        <v>69</v>
      </c>
      <c r="E2" s="2" t="s">
        <v>3</v>
      </c>
      <c r="F2" s="2" t="s">
        <v>4</v>
      </c>
      <c r="G2" s="2">
        <v>6</v>
      </c>
      <c r="H2" s="3">
        <v>1031.55</v>
      </c>
      <c r="I2" s="4">
        <v>0</v>
      </c>
      <c r="J2" s="3">
        <v>0</v>
      </c>
      <c r="K2" s="7">
        <f t="shared" ref="K2:K65" si="0">IF(N2="Cancelled",0,IF(N2="Returned",J2,H2*(1-I2)+J2))</f>
        <v>1031.55</v>
      </c>
      <c r="L2" s="2" t="s">
        <v>18</v>
      </c>
      <c r="M2" s="2" t="s">
        <v>70</v>
      </c>
      <c r="N2" s="2" t="s">
        <v>13</v>
      </c>
      <c r="O2" s="2">
        <v>66</v>
      </c>
      <c r="P2" s="2">
        <v>5</v>
      </c>
      <c r="Q2" s="2" t="str">
        <f>TEXT(tblOrders[[#This Row],[Order Date]],"mmm-yyyy")</f>
        <v>Jan-2026</v>
      </c>
      <c r="R2" s="3">
        <f>IF(N2="Cancelled",0,H2*INDEX(Assumptions!$C$7:$C$12,MATCH(F2,Assumptions!$B$7:$B$12,0)))</f>
        <v>804.60900000000004</v>
      </c>
      <c r="S2" s="3">
        <f>IF(N2="Cancelled",Assumptions!$C$19,IF(N2="Returned",Assumptions!$C$17+O2*Assumptions!$C$18+Assumptions!$C$20,Assumptions!$C$17+O2*Assumptions!$C$18))</f>
        <v>44.8</v>
      </c>
      <c r="T2" s="3">
        <f>R2+S2</f>
        <v>849.40899999999999</v>
      </c>
      <c r="U2" s="7">
        <f>K2-T2</f>
        <v>182.14099999999996</v>
      </c>
      <c r="V2" s="7">
        <f>IF(U2&gt;0,U2,0)</f>
        <v>182.14099999999996</v>
      </c>
      <c r="W2" s="5">
        <f>IF(U2&gt;0,U2/H2,0)</f>
        <v>0.17657020987833841</v>
      </c>
      <c r="X2" s="7">
        <f>IF(U2&lt;0,-U2,0)</f>
        <v>0</v>
      </c>
      <c r="Y2" s="5">
        <f>IF(U2&lt;0,-U2/H2,0)</f>
        <v>0</v>
      </c>
      <c r="Z2" s="2" t="str">
        <f>IF(U2&gt;=0,"Profitable",IF(N2="Cancelled","Order Cancelled",IF(N2="Returned","Order Returned",IF(AND(I2&gt;=0.15,U2&lt;0),"High Discount",IF(S2&gt;H2,"Delivery Cost Exceeded Order Value","Low Order Value / Thin Margin")))))</f>
        <v>Profitable</v>
      </c>
    </row>
    <row r="3" spans="1:26" x14ac:dyDescent="0.3">
      <c r="A3" s="2" t="s">
        <v>71</v>
      </c>
      <c r="B3" s="6">
        <v>46026.356249999997</v>
      </c>
      <c r="C3" s="2" t="s">
        <v>72</v>
      </c>
      <c r="D3" s="2" t="s">
        <v>73</v>
      </c>
      <c r="E3" s="2" t="s">
        <v>3</v>
      </c>
      <c r="F3" s="2" t="s">
        <v>9</v>
      </c>
      <c r="G3" s="2">
        <v>3</v>
      </c>
      <c r="H3" s="3">
        <v>113.71</v>
      </c>
      <c r="I3" s="4">
        <v>0.2</v>
      </c>
      <c r="J3" s="3">
        <v>59</v>
      </c>
      <c r="K3" s="7">
        <f t="shared" si="0"/>
        <v>149.96800000000002</v>
      </c>
      <c r="L3" s="2" t="s">
        <v>16</v>
      </c>
      <c r="M3" s="2" t="s">
        <v>74</v>
      </c>
      <c r="N3" s="2" t="s">
        <v>13</v>
      </c>
      <c r="O3" s="2">
        <v>30</v>
      </c>
      <c r="P3" s="2">
        <v>5</v>
      </c>
      <c r="Q3" s="2" t="str">
        <f>TEXT(tblOrders[[#This Row],[Order Date]],"mmm-yyyy")</f>
        <v>Jan-2026</v>
      </c>
      <c r="R3" s="3">
        <f>IF(N3="Cancelled",0,H3*INDEX(Assumptions!$C$7:$C$12,MATCH(F3,Assumptions!$B$7:$B$12,0)))</f>
        <v>51.169499999999999</v>
      </c>
      <c r="S3" s="3">
        <f>IF(N3="Cancelled",Assumptions!$C$19,IF(N3="Returned",Assumptions!$C$17+O3*Assumptions!$C$18+Assumptions!$C$20,Assumptions!$C$17+O3*Assumptions!$C$18))</f>
        <v>34</v>
      </c>
      <c r="T3" s="3">
        <f>R3+S3</f>
        <v>85.169499999999999</v>
      </c>
      <c r="U3" s="7">
        <f>K3-T3</f>
        <v>64.798500000000018</v>
      </c>
      <c r="V3" s="7">
        <f>IF(U3&gt;0,U3,0)</f>
        <v>64.798500000000018</v>
      </c>
      <c r="W3" s="5">
        <f>IF(U3&gt;0,U3/H3,0)</f>
        <v>0.56985753231905745</v>
      </c>
      <c r="X3" s="7">
        <f>IF(U3&lt;0,-U3,0)</f>
        <v>0</v>
      </c>
      <c r="Y3" s="5">
        <f>IF(U3&lt;0,-U3/H3,0)</f>
        <v>0</v>
      </c>
      <c r="Z3" s="2" t="str">
        <f>IF(U3&gt;=0,"Profitable",IF(N3="Cancelled","Order Cancelled",IF(N3="Returned","Order Returned",IF(AND(I3&gt;=0.15,U3&lt;0),"High Discount",IF(S3&gt;H3,"Delivery Cost Exceeded Order Value","Low Order Value / Thin Margin")))))</f>
        <v>Profitable</v>
      </c>
    </row>
    <row r="4" spans="1:26" x14ac:dyDescent="0.3">
      <c r="A4" s="2" t="s">
        <v>75</v>
      </c>
      <c r="B4" s="6">
        <v>46026.8930555556</v>
      </c>
      <c r="C4" s="2" t="s">
        <v>76</v>
      </c>
      <c r="D4" s="2" t="s">
        <v>77</v>
      </c>
      <c r="E4" s="2" t="s">
        <v>3</v>
      </c>
      <c r="F4" s="2" t="s">
        <v>10</v>
      </c>
      <c r="G4" s="2">
        <v>3</v>
      </c>
      <c r="H4" s="3">
        <v>982.53</v>
      </c>
      <c r="I4" s="4">
        <v>0.2</v>
      </c>
      <c r="J4" s="3">
        <v>59</v>
      </c>
      <c r="K4" s="7">
        <f t="shared" si="0"/>
        <v>845.024</v>
      </c>
      <c r="L4" s="2" t="s">
        <v>16</v>
      </c>
      <c r="M4" s="2" t="s">
        <v>78</v>
      </c>
      <c r="N4" s="2" t="s">
        <v>13</v>
      </c>
      <c r="O4" s="2">
        <v>84</v>
      </c>
      <c r="P4" s="2">
        <v>5</v>
      </c>
      <c r="Q4" s="2" t="str">
        <f>TEXT(tblOrders[[#This Row],[Order Date]],"mmm-yyyy")</f>
        <v>Jan-2026</v>
      </c>
      <c r="R4" s="3">
        <f>IF(N4="Cancelled",0,H4*INDEX(Assumptions!$C$7:$C$12,MATCH(F4,Assumptions!$B$7:$B$12,0)))</f>
        <v>687.77099999999996</v>
      </c>
      <c r="S4" s="3">
        <f>IF(N4="Cancelled",Assumptions!$C$19,IF(N4="Returned",Assumptions!$C$17+O4*Assumptions!$C$18+Assumptions!$C$20,Assumptions!$C$17+O4*Assumptions!$C$18))</f>
        <v>50.2</v>
      </c>
      <c r="T4" s="3">
        <f>R4+S4</f>
        <v>737.971</v>
      </c>
      <c r="U4" s="7">
        <f>K4-T4</f>
        <v>107.053</v>
      </c>
      <c r="V4" s="7">
        <f>IF(U4&gt;0,U4,0)</f>
        <v>107.053</v>
      </c>
      <c r="W4" s="5">
        <f>IF(U4&gt;0,U4/H4,0)</f>
        <v>0.10895646952255911</v>
      </c>
      <c r="X4" s="7">
        <f>IF(U4&lt;0,-U4,0)</f>
        <v>0</v>
      </c>
      <c r="Y4" s="5">
        <f>IF(U4&lt;0,-U4/H4,0)</f>
        <v>0</v>
      </c>
      <c r="Z4" s="2" t="str">
        <f>IF(U4&gt;=0,"Profitable",IF(N4="Cancelled","Order Cancelled",IF(N4="Returned","Order Returned",IF(AND(I4&gt;=0.15,U4&lt;0),"High Discount",IF(S4&gt;H4,"Delivery Cost Exceeded Order Value","Low Order Value / Thin Margin")))))</f>
        <v>Profitable</v>
      </c>
    </row>
    <row r="5" spans="1:26" x14ac:dyDescent="0.3">
      <c r="A5" s="2" t="s">
        <v>79</v>
      </c>
      <c r="B5" s="6">
        <v>46029.390277777798</v>
      </c>
      <c r="C5" s="2" t="s">
        <v>80</v>
      </c>
      <c r="D5" s="2" t="s">
        <v>81</v>
      </c>
      <c r="E5" s="2" t="s">
        <v>3</v>
      </c>
      <c r="F5" s="2" t="s">
        <v>8</v>
      </c>
      <c r="G5" s="2">
        <v>3</v>
      </c>
      <c r="H5" s="3">
        <v>3495.76</v>
      </c>
      <c r="I5" s="4">
        <v>0</v>
      </c>
      <c r="J5" s="3">
        <v>0</v>
      </c>
      <c r="K5" s="7">
        <f t="shared" si="0"/>
        <v>3495.76</v>
      </c>
      <c r="L5" s="2" t="s">
        <v>18</v>
      </c>
      <c r="M5" s="2" t="s">
        <v>82</v>
      </c>
      <c r="N5" s="2" t="s">
        <v>13</v>
      </c>
      <c r="O5" s="2">
        <v>28</v>
      </c>
      <c r="P5" s="2">
        <v>5</v>
      </c>
      <c r="Q5" s="2" t="str">
        <f>TEXT(tblOrders[[#This Row],[Order Date]],"mmm-yyyy")</f>
        <v>Jan-2026</v>
      </c>
      <c r="R5" s="3">
        <f>IF(N5="Cancelled",0,H5*INDEX(Assumptions!$C$7:$C$12,MATCH(F5,Assumptions!$B$7:$B$12,0)))</f>
        <v>1922.6680000000003</v>
      </c>
      <c r="S5" s="3">
        <f>IF(N5="Cancelled",Assumptions!$C$19,IF(N5="Returned",Assumptions!$C$17+O5*Assumptions!$C$18+Assumptions!$C$20,Assumptions!$C$17+O5*Assumptions!$C$18))</f>
        <v>33.4</v>
      </c>
      <c r="T5" s="3">
        <f>R5+S5</f>
        <v>1956.0680000000004</v>
      </c>
      <c r="U5" s="7">
        <f>K5-T5</f>
        <v>1539.6919999999998</v>
      </c>
      <c r="V5" s="7">
        <f>IF(U5&gt;0,U5,0)</f>
        <v>1539.6919999999998</v>
      </c>
      <c r="W5" s="5">
        <f>IF(U5&gt;0,U5/H5,0)</f>
        <v>0.4404455683456529</v>
      </c>
      <c r="X5" s="7">
        <f>IF(U5&lt;0,-U5,0)</f>
        <v>0</v>
      </c>
      <c r="Y5" s="5">
        <f>IF(U5&lt;0,-U5/H5,0)</f>
        <v>0</v>
      </c>
      <c r="Z5" s="2" t="str">
        <f>IF(U5&gt;=0,"Profitable",IF(N5="Cancelled","Order Cancelled",IF(N5="Returned","Order Returned",IF(AND(I5&gt;=0.15,U5&lt;0),"High Discount",IF(S5&gt;H5,"Delivery Cost Exceeded Order Value","Low Order Value / Thin Margin")))))</f>
        <v>Profitable</v>
      </c>
    </row>
    <row r="6" spans="1:26" x14ac:dyDescent="0.3">
      <c r="A6" s="2" t="s">
        <v>83</v>
      </c>
      <c r="B6" s="6">
        <v>46030.662499999999</v>
      </c>
      <c r="C6" s="2" t="s">
        <v>84</v>
      </c>
      <c r="D6" s="2" t="s">
        <v>69</v>
      </c>
      <c r="E6" s="2" t="s">
        <v>3</v>
      </c>
      <c r="F6" s="2" t="s">
        <v>6</v>
      </c>
      <c r="G6" s="2">
        <v>3</v>
      </c>
      <c r="H6" s="3">
        <v>12129.22</v>
      </c>
      <c r="I6" s="4">
        <v>0</v>
      </c>
      <c r="J6" s="3">
        <v>0</v>
      </c>
      <c r="K6" s="7">
        <f t="shared" si="0"/>
        <v>0</v>
      </c>
      <c r="L6" s="2" t="s">
        <v>18</v>
      </c>
      <c r="M6" s="2" t="s">
        <v>78</v>
      </c>
      <c r="N6" s="2" t="s">
        <v>15</v>
      </c>
      <c r="O6" s="2"/>
      <c r="P6" s="2"/>
      <c r="Q6" s="2" t="str">
        <f>TEXT(tblOrders[[#This Row],[Order Date]],"mmm-yyyy")</f>
        <v>Jan-2026</v>
      </c>
      <c r="R6" s="3">
        <f>IF(N6="Cancelled",0,H6*INDEX(Assumptions!$C$7:$C$12,MATCH(F6,Assumptions!$B$7:$B$12,0)))</f>
        <v>0</v>
      </c>
      <c r="S6" s="3">
        <f>IF(N6="Cancelled",Assumptions!$C$19,IF(N6="Returned",Assumptions!$C$17+O6*Assumptions!$C$18+Assumptions!$C$20,Assumptions!$C$17+O6*Assumptions!$C$18))</f>
        <v>15</v>
      </c>
      <c r="T6" s="3">
        <f>R6+S6</f>
        <v>15</v>
      </c>
      <c r="U6" s="7">
        <f>K6-T6</f>
        <v>-15</v>
      </c>
      <c r="V6" s="7">
        <f>IF(U6&gt;0,U6,0)</f>
        <v>0</v>
      </c>
      <c r="W6" s="5">
        <f>IF(U6&gt;0,U6/H6,0)</f>
        <v>0</v>
      </c>
      <c r="X6" s="7">
        <f>IF(U6&lt;0,-U6,0)</f>
        <v>15</v>
      </c>
      <c r="Y6" s="5">
        <f>IF(U6&lt;0,-U6/H6,0)</f>
        <v>1.2366829853857049E-3</v>
      </c>
      <c r="Z6" s="2" t="str">
        <f>IF(U6&gt;=0,"Profitable",IF(N6="Cancelled","Order Cancelled",IF(N6="Returned","Order Returned",IF(AND(I6&gt;=0.15,U6&lt;0),"High Discount",IF(S6&gt;H6,"Delivery Cost Exceeded Order Value","Low Order Value / Thin Margin")))))</f>
        <v>Order Cancelled</v>
      </c>
    </row>
    <row r="7" spans="1:26" x14ac:dyDescent="0.3">
      <c r="A7" s="2" t="s">
        <v>85</v>
      </c>
      <c r="B7" s="6">
        <v>46034.640972222202</v>
      </c>
      <c r="C7" s="2" t="s">
        <v>86</v>
      </c>
      <c r="D7" s="2" t="s">
        <v>87</v>
      </c>
      <c r="E7" s="2" t="s">
        <v>3</v>
      </c>
      <c r="F7" s="2" t="s">
        <v>6</v>
      </c>
      <c r="G7" s="2">
        <v>1</v>
      </c>
      <c r="H7" s="3">
        <v>8650.68</v>
      </c>
      <c r="I7" s="4">
        <v>0.15</v>
      </c>
      <c r="J7" s="3">
        <v>0</v>
      </c>
      <c r="K7" s="7">
        <f t="shared" si="0"/>
        <v>7353.0780000000004</v>
      </c>
      <c r="L7" s="2" t="s">
        <v>19</v>
      </c>
      <c r="M7" s="2" t="s">
        <v>88</v>
      </c>
      <c r="N7" s="2" t="s">
        <v>13</v>
      </c>
      <c r="O7" s="2">
        <v>49</v>
      </c>
      <c r="P7" s="2">
        <v>4</v>
      </c>
      <c r="Q7" s="2" t="str">
        <f>TEXT(tblOrders[[#This Row],[Order Date]],"mmm-yyyy")</f>
        <v>Jan-2026</v>
      </c>
      <c r="R7" s="3">
        <f>IF(N7="Cancelled",0,H7*INDEX(Assumptions!$C$7:$C$12,MATCH(F7,Assumptions!$B$7:$B$12,0)))</f>
        <v>7612.5983999999999</v>
      </c>
      <c r="S7" s="3">
        <f>IF(N7="Cancelled",Assumptions!$C$19,IF(N7="Returned",Assumptions!$C$17+O7*Assumptions!$C$18+Assumptions!$C$20,Assumptions!$C$17+O7*Assumptions!$C$18))</f>
        <v>39.700000000000003</v>
      </c>
      <c r="T7" s="3">
        <f>R7+S7</f>
        <v>7652.2983999999997</v>
      </c>
      <c r="U7" s="7">
        <f>K7-T7</f>
        <v>-299.22039999999924</v>
      </c>
      <c r="V7" s="7">
        <f>IF(U7&gt;0,U7,0)</f>
        <v>0</v>
      </c>
      <c r="W7" s="5">
        <f>IF(U7&gt;0,U7/H7,0)</f>
        <v>0</v>
      </c>
      <c r="X7" s="7">
        <f>IF(U7&lt;0,-U7,0)</f>
        <v>299.22039999999924</v>
      </c>
      <c r="Y7" s="5">
        <f>IF(U7&lt;0,-U7/H7,0)</f>
        <v>3.4589234603522409E-2</v>
      </c>
      <c r="Z7" s="2" t="str">
        <f>IF(U7&gt;=0,"Profitable",IF(N7="Cancelled","Order Cancelled",IF(N7="Returned","Order Returned",IF(AND(I7&gt;=0.15,U7&lt;0),"High Discount",IF(S7&gt;H7,"Delivery Cost Exceeded Order Value","Low Order Value / Thin Margin")))))</f>
        <v>High Discount</v>
      </c>
    </row>
    <row r="8" spans="1:26" x14ac:dyDescent="0.3">
      <c r="A8" s="2" t="s">
        <v>89</v>
      </c>
      <c r="B8" s="6">
        <v>46035.677083333299</v>
      </c>
      <c r="C8" s="2" t="s">
        <v>90</v>
      </c>
      <c r="D8" s="2" t="s">
        <v>77</v>
      </c>
      <c r="E8" s="2" t="s">
        <v>3</v>
      </c>
      <c r="F8" s="2" t="s">
        <v>11</v>
      </c>
      <c r="G8" s="2">
        <v>2</v>
      </c>
      <c r="H8" s="3">
        <v>4848.22</v>
      </c>
      <c r="I8" s="4">
        <v>0.15</v>
      </c>
      <c r="J8" s="3">
        <v>0</v>
      </c>
      <c r="K8" s="7">
        <f t="shared" si="0"/>
        <v>0</v>
      </c>
      <c r="L8" s="2" t="s">
        <v>18</v>
      </c>
      <c r="M8" s="2" t="s">
        <v>91</v>
      </c>
      <c r="N8" s="2" t="s">
        <v>17</v>
      </c>
      <c r="O8" s="2">
        <v>74</v>
      </c>
      <c r="P8" s="2">
        <v>3</v>
      </c>
      <c r="Q8" s="2" t="str">
        <f>TEXT(tblOrders[[#This Row],[Order Date]],"mmm-yyyy")</f>
        <v>Jan-2026</v>
      </c>
      <c r="R8" s="3">
        <f>IF(N8="Cancelled",0,H8*INDEX(Assumptions!$C$7:$C$12,MATCH(F8,Assumptions!$B$7:$B$12,0)))</f>
        <v>3151.3430000000003</v>
      </c>
      <c r="S8" s="3">
        <f>IF(N8="Cancelled",Assumptions!$C$19,IF(N8="Returned",Assumptions!$C$17+O8*Assumptions!$C$18+Assumptions!$C$20,Assumptions!$C$17+O8*Assumptions!$C$18))</f>
        <v>67.2</v>
      </c>
      <c r="T8" s="3">
        <f>R8+S8</f>
        <v>3218.5430000000001</v>
      </c>
      <c r="U8" s="7">
        <f>K8-T8</f>
        <v>-3218.5430000000001</v>
      </c>
      <c r="V8" s="7">
        <f>IF(U8&gt;0,U8,0)</f>
        <v>0</v>
      </c>
      <c r="W8" s="5">
        <f>IF(U8&gt;0,U8/H8,0)</f>
        <v>0</v>
      </c>
      <c r="X8" s="7">
        <f>IF(U8&lt;0,-U8,0)</f>
        <v>3218.5430000000001</v>
      </c>
      <c r="Y8" s="5">
        <f>IF(U8&lt;0,-U8/H8,0)</f>
        <v>0.66386075714385895</v>
      </c>
      <c r="Z8" s="2" t="str">
        <f>IF(U8&gt;=0,"Profitable",IF(N8="Cancelled","Order Cancelled",IF(N8="Returned","Order Returned",IF(AND(I8&gt;=0.15,U8&lt;0),"High Discount",IF(S8&gt;H8,"Delivery Cost Exceeded Order Value","Low Order Value / Thin Margin")))))</f>
        <v>Order Returned</v>
      </c>
    </row>
    <row r="9" spans="1:26" x14ac:dyDescent="0.3">
      <c r="A9" s="2" t="s">
        <v>92</v>
      </c>
      <c r="B9" s="6">
        <v>46035.729166666701</v>
      </c>
      <c r="C9" s="2" t="s">
        <v>93</v>
      </c>
      <c r="D9" s="2" t="s">
        <v>69</v>
      </c>
      <c r="E9" s="2" t="s">
        <v>5</v>
      </c>
      <c r="F9" s="2" t="s">
        <v>8</v>
      </c>
      <c r="G9" s="2">
        <v>2</v>
      </c>
      <c r="H9" s="3">
        <v>510.45</v>
      </c>
      <c r="I9" s="4">
        <v>0.1</v>
      </c>
      <c r="J9" s="3">
        <v>29</v>
      </c>
      <c r="K9" s="7">
        <f t="shared" si="0"/>
        <v>488.40499999999997</v>
      </c>
      <c r="L9" s="2" t="s">
        <v>16</v>
      </c>
      <c r="M9" s="2" t="s">
        <v>94</v>
      </c>
      <c r="N9" s="2" t="s">
        <v>13</v>
      </c>
      <c r="O9" s="2">
        <v>26</v>
      </c>
      <c r="P9" s="2">
        <v>5</v>
      </c>
      <c r="Q9" s="2" t="str">
        <f>TEXT(tblOrders[[#This Row],[Order Date]],"mmm-yyyy")</f>
        <v>Jan-2026</v>
      </c>
      <c r="R9" s="3">
        <f>IF(N9="Cancelled",0,H9*INDEX(Assumptions!$C$7:$C$12,MATCH(F9,Assumptions!$B$7:$B$12,0)))</f>
        <v>280.7475</v>
      </c>
      <c r="S9" s="3">
        <f>IF(N9="Cancelled",Assumptions!$C$19,IF(N9="Returned",Assumptions!$C$17+O9*Assumptions!$C$18+Assumptions!$C$20,Assumptions!$C$17+O9*Assumptions!$C$18))</f>
        <v>32.799999999999997</v>
      </c>
      <c r="T9" s="3">
        <f>R9+S9</f>
        <v>313.54750000000001</v>
      </c>
      <c r="U9" s="7">
        <f>K9-T9</f>
        <v>174.85749999999996</v>
      </c>
      <c r="V9" s="7">
        <f>IF(U9&gt;0,U9,0)</f>
        <v>174.85749999999996</v>
      </c>
      <c r="W9" s="5">
        <f>IF(U9&gt;0,U9/H9,0)</f>
        <v>0.34255558820648441</v>
      </c>
      <c r="X9" s="7">
        <f>IF(U9&lt;0,-U9,0)</f>
        <v>0</v>
      </c>
      <c r="Y9" s="5">
        <f>IF(U9&lt;0,-U9/H9,0)</f>
        <v>0</v>
      </c>
      <c r="Z9" s="2" t="str">
        <f>IF(U9&gt;=0,"Profitable",IF(N9="Cancelled","Order Cancelled",IF(N9="Returned","Order Returned",IF(AND(I9&gt;=0.15,U9&lt;0),"High Discount",IF(S9&gt;H9,"Delivery Cost Exceeded Order Value","Low Order Value / Thin Margin")))))</f>
        <v>Profitable</v>
      </c>
    </row>
    <row r="10" spans="1:26" x14ac:dyDescent="0.3">
      <c r="A10" s="2" t="s">
        <v>95</v>
      </c>
      <c r="B10" s="6">
        <v>46036.423611111102</v>
      </c>
      <c r="C10" s="2" t="s">
        <v>96</v>
      </c>
      <c r="D10" s="2" t="s">
        <v>97</v>
      </c>
      <c r="E10" s="2" t="s">
        <v>3</v>
      </c>
      <c r="F10" s="2" t="s">
        <v>9</v>
      </c>
      <c r="G10" s="2">
        <v>1</v>
      </c>
      <c r="H10" s="3">
        <v>317.68</v>
      </c>
      <c r="I10" s="4">
        <v>0.15</v>
      </c>
      <c r="J10" s="3">
        <v>59</v>
      </c>
      <c r="K10" s="7">
        <f t="shared" si="0"/>
        <v>329.02800000000002</v>
      </c>
      <c r="L10" s="2" t="s">
        <v>19</v>
      </c>
      <c r="M10" s="2" t="s">
        <v>98</v>
      </c>
      <c r="N10" s="2" t="s">
        <v>13</v>
      </c>
      <c r="O10" s="2">
        <v>71</v>
      </c>
      <c r="P10" s="2">
        <v>4</v>
      </c>
      <c r="Q10" s="2" t="str">
        <f>TEXT(tblOrders[[#This Row],[Order Date]],"mmm-yyyy")</f>
        <v>Jan-2026</v>
      </c>
      <c r="R10" s="3">
        <f>IF(N10="Cancelled",0,H10*INDEX(Assumptions!$C$7:$C$12,MATCH(F10,Assumptions!$B$7:$B$12,0)))</f>
        <v>142.95600000000002</v>
      </c>
      <c r="S10" s="3">
        <f>IF(N10="Cancelled",Assumptions!$C$19,IF(N10="Returned",Assumptions!$C$17+O10*Assumptions!$C$18+Assumptions!$C$20,Assumptions!$C$17+O10*Assumptions!$C$18))</f>
        <v>46.3</v>
      </c>
      <c r="T10" s="3">
        <f>R10+S10</f>
        <v>189.25600000000003</v>
      </c>
      <c r="U10" s="7">
        <f>K10-T10</f>
        <v>139.77199999999999</v>
      </c>
      <c r="V10" s="7">
        <f>IF(U10&gt;0,U10,0)</f>
        <v>139.77199999999999</v>
      </c>
      <c r="W10" s="5">
        <f>IF(U10&gt;0,U10/H10,0)</f>
        <v>0.43997733568370684</v>
      </c>
      <c r="X10" s="7">
        <f>IF(U10&lt;0,-U10,0)</f>
        <v>0</v>
      </c>
      <c r="Y10" s="5">
        <f>IF(U10&lt;0,-U10/H10,0)</f>
        <v>0</v>
      </c>
      <c r="Z10" s="2" t="str">
        <f>IF(U10&gt;=0,"Profitable",IF(N10="Cancelled","Order Cancelled",IF(N10="Returned","Order Returned",IF(AND(I10&gt;=0.15,U10&lt;0),"High Discount",IF(S10&gt;H10,"Delivery Cost Exceeded Order Value","Low Order Value / Thin Margin")))))</f>
        <v>Profitable</v>
      </c>
    </row>
    <row r="11" spans="1:26" x14ac:dyDescent="0.3">
      <c r="A11" s="2" t="s">
        <v>99</v>
      </c>
      <c r="B11" s="6">
        <v>46041.493750000001</v>
      </c>
      <c r="C11" s="2" t="s">
        <v>100</v>
      </c>
      <c r="D11" s="2" t="s">
        <v>77</v>
      </c>
      <c r="E11" s="2" t="s">
        <v>5</v>
      </c>
      <c r="F11" s="2" t="s">
        <v>9</v>
      </c>
      <c r="G11" s="2">
        <v>5</v>
      </c>
      <c r="H11" s="3">
        <v>273.61</v>
      </c>
      <c r="I11" s="4">
        <v>0</v>
      </c>
      <c r="J11" s="3">
        <v>49</v>
      </c>
      <c r="K11" s="7">
        <f t="shared" si="0"/>
        <v>49</v>
      </c>
      <c r="L11" s="2" t="s">
        <v>18</v>
      </c>
      <c r="M11" s="2" t="s">
        <v>98</v>
      </c>
      <c r="N11" s="2" t="s">
        <v>17</v>
      </c>
      <c r="O11" s="2">
        <v>19</v>
      </c>
      <c r="P11" s="2">
        <v>1</v>
      </c>
      <c r="Q11" s="2" t="str">
        <f>TEXT(tblOrders[[#This Row],[Order Date]],"mmm-yyyy")</f>
        <v>Jan-2026</v>
      </c>
      <c r="R11" s="3">
        <f>IF(N11="Cancelled",0,H11*INDEX(Assumptions!$C$7:$C$12,MATCH(F11,Assumptions!$B$7:$B$12,0)))</f>
        <v>123.12450000000001</v>
      </c>
      <c r="S11" s="3">
        <f>IF(N11="Cancelled",Assumptions!$C$19,IF(N11="Returned",Assumptions!$C$17+O11*Assumptions!$C$18+Assumptions!$C$20,Assumptions!$C$17+O11*Assumptions!$C$18))</f>
        <v>50.7</v>
      </c>
      <c r="T11" s="3">
        <f>R11+S11</f>
        <v>173.8245</v>
      </c>
      <c r="U11" s="7">
        <f>K11-T11</f>
        <v>-124.8245</v>
      </c>
      <c r="V11" s="7">
        <f>IF(U11&gt;0,U11,0)</f>
        <v>0</v>
      </c>
      <c r="W11" s="5">
        <f>IF(U11&gt;0,U11/H11,0)</f>
        <v>0</v>
      </c>
      <c r="X11" s="7">
        <f>IF(U11&lt;0,-U11,0)</f>
        <v>124.8245</v>
      </c>
      <c r="Y11" s="5">
        <f>IF(U11&lt;0,-U11/H11,0)</f>
        <v>0.4562132232009064</v>
      </c>
      <c r="Z11" s="2" t="str">
        <f>IF(U11&gt;=0,"Profitable",IF(N11="Cancelled","Order Cancelled",IF(N11="Returned","Order Returned",IF(AND(I11&gt;=0.15,U11&lt;0),"High Discount",IF(S11&gt;H11,"Delivery Cost Exceeded Order Value","Low Order Value / Thin Margin")))))</f>
        <v>Order Returned</v>
      </c>
    </row>
    <row r="12" spans="1:26" x14ac:dyDescent="0.3">
      <c r="A12" s="2" t="s">
        <v>101</v>
      </c>
      <c r="B12" s="6">
        <v>46041.819444444503</v>
      </c>
      <c r="C12" s="2" t="s">
        <v>102</v>
      </c>
      <c r="D12" s="2" t="s">
        <v>77</v>
      </c>
      <c r="E12" s="2" t="s">
        <v>3</v>
      </c>
      <c r="F12" s="2" t="s">
        <v>4</v>
      </c>
      <c r="G12" s="2">
        <v>1</v>
      </c>
      <c r="H12" s="3">
        <v>1052.6199999999999</v>
      </c>
      <c r="I12" s="4">
        <v>0</v>
      </c>
      <c r="J12" s="3">
        <v>0</v>
      </c>
      <c r="K12" s="7">
        <f t="shared" si="0"/>
        <v>1052.6199999999999</v>
      </c>
      <c r="L12" s="2" t="s">
        <v>16</v>
      </c>
      <c r="M12" s="2" t="s">
        <v>82</v>
      </c>
      <c r="N12" s="2" t="s">
        <v>13</v>
      </c>
      <c r="O12" s="2">
        <v>80</v>
      </c>
      <c r="P12" s="2">
        <v>3</v>
      </c>
      <c r="Q12" s="2" t="str">
        <f>TEXT(tblOrders[[#This Row],[Order Date]],"mmm-yyyy")</f>
        <v>Jan-2026</v>
      </c>
      <c r="R12" s="3">
        <f>IF(N12="Cancelled",0,H12*INDEX(Assumptions!$C$7:$C$12,MATCH(F12,Assumptions!$B$7:$B$12,0)))</f>
        <v>821.04359999999997</v>
      </c>
      <c r="S12" s="3">
        <f>IF(N12="Cancelled",Assumptions!$C$19,IF(N12="Returned",Assumptions!$C$17+O12*Assumptions!$C$18+Assumptions!$C$20,Assumptions!$C$17+O12*Assumptions!$C$18))</f>
        <v>49</v>
      </c>
      <c r="T12" s="3">
        <f>R12+S12</f>
        <v>870.04359999999997</v>
      </c>
      <c r="U12" s="7">
        <f>K12-T12</f>
        <v>182.57639999999992</v>
      </c>
      <c r="V12" s="7">
        <f>IF(U12&gt;0,U12,0)</f>
        <v>182.57639999999992</v>
      </c>
      <c r="W12" s="5">
        <f>IF(U12&gt;0,U12/H12,0)</f>
        <v>0.17344948794436732</v>
      </c>
      <c r="X12" s="7">
        <f>IF(U12&lt;0,-U12,0)</f>
        <v>0</v>
      </c>
      <c r="Y12" s="5">
        <f>IF(U12&lt;0,-U12/H12,0)</f>
        <v>0</v>
      </c>
      <c r="Z12" s="2" t="str">
        <f>IF(U12&gt;=0,"Profitable",IF(N12="Cancelled","Order Cancelled",IF(N12="Returned","Order Returned",IF(AND(I12&gt;=0.15,U12&lt;0),"High Discount",IF(S12&gt;H12,"Delivery Cost Exceeded Order Value","Low Order Value / Thin Margin")))))</f>
        <v>Profitable</v>
      </c>
    </row>
    <row r="13" spans="1:26" x14ac:dyDescent="0.3">
      <c r="A13" s="2" t="s">
        <v>103</v>
      </c>
      <c r="B13" s="6">
        <v>46042.442361111098</v>
      </c>
      <c r="C13" s="2" t="s">
        <v>104</v>
      </c>
      <c r="D13" s="2" t="s">
        <v>97</v>
      </c>
      <c r="E13" s="2" t="s">
        <v>3</v>
      </c>
      <c r="F13" s="2" t="s">
        <v>4</v>
      </c>
      <c r="G13" s="2">
        <v>1</v>
      </c>
      <c r="H13" s="3">
        <v>158.47</v>
      </c>
      <c r="I13" s="4">
        <v>0</v>
      </c>
      <c r="J13" s="3">
        <v>29</v>
      </c>
      <c r="K13" s="7">
        <f t="shared" si="0"/>
        <v>187.47</v>
      </c>
      <c r="L13" s="2" t="s">
        <v>19</v>
      </c>
      <c r="M13" s="2" t="s">
        <v>94</v>
      </c>
      <c r="N13" s="2" t="s">
        <v>13</v>
      </c>
      <c r="O13" s="2">
        <v>79</v>
      </c>
      <c r="P13" s="2">
        <v>3</v>
      </c>
      <c r="Q13" s="2" t="str">
        <f>TEXT(tblOrders[[#This Row],[Order Date]],"mmm-yyyy")</f>
        <v>Jan-2026</v>
      </c>
      <c r="R13" s="3">
        <f>IF(N13="Cancelled",0,H13*INDEX(Assumptions!$C$7:$C$12,MATCH(F13,Assumptions!$B$7:$B$12,0)))</f>
        <v>123.6066</v>
      </c>
      <c r="S13" s="3">
        <f>IF(N13="Cancelled",Assumptions!$C$19,IF(N13="Returned",Assumptions!$C$17+O13*Assumptions!$C$18+Assumptions!$C$20,Assumptions!$C$17+O13*Assumptions!$C$18))</f>
        <v>48.7</v>
      </c>
      <c r="T13" s="3">
        <f>R13+S13</f>
        <v>172.3066</v>
      </c>
      <c r="U13" s="7">
        <f>K13-T13</f>
        <v>15.163399999999996</v>
      </c>
      <c r="V13" s="7">
        <f>IF(U13&gt;0,U13,0)</f>
        <v>15.163399999999996</v>
      </c>
      <c r="W13" s="5">
        <f>IF(U13&gt;0,U13/H13,0)</f>
        <v>9.5686249763362125E-2</v>
      </c>
      <c r="X13" s="7">
        <f>IF(U13&lt;0,-U13,0)</f>
        <v>0</v>
      </c>
      <c r="Y13" s="5">
        <f>IF(U13&lt;0,-U13/H13,0)</f>
        <v>0</v>
      </c>
      <c r="Z13" s="2" t="str">
        <f>IF(U13&gt;=0,"Profitable",IF(N13="Cancelled","Order Cancelled",IF(N13="Returned","Order Returned",IF(AND(I13&gt;=0.15,U13&lt;0),"High Discount",IF(S13&gt;H13,"Delivery Cost Exceeded Order Value","Low Order Value / Thin Margin")))))</f>
        <v>Profitable</v>
      </c>
    </row>
    <row r="14" spans="1:26" x14ac:dyDescent="0.3">
      <c r="A14" s="2" t="s">
        <v>105</v>
      </c>
      <c r="B14" s="6">
        <v>46042.733333333301</v>
      </c>
      <c r="C14" s="2" t="s">
        <v>106</v>
      </c>
      <c r="D14" s="2" t="s">
        <v>97</v>
      </c>
      <c r="E14" s="2" t="s">
        <v>3</v>
      </c>
      <c r="F14" s="2" t="s">
        <v>4</v>
      </c>
      <c r="G14" s="2">
        <v>2</v>
      </c>
      <c r="H14" s="3">
        <v>398.61</v>
      </c>
      <c r="I14" s="4">
        <v>0</v>
      </c>
      <c r="J14" s="3">
        <v>49</v>
      </c>
      <c r="K14" s="7">
        <f t="shared" si="0"/>
        <v>447.61</v>
      </c>
      <c r="L14" s="2" t="s">
        <v>19</v>
      </c>
      <c r="M14" s="2" t="s">
        <v>107</v>
      </c>
      <c r="N14" s="2" t="s">
        <v>13</v>
      </c>
      <c r="O14" s="2">
        <v>59</v>
      </c>
      <c r="P14" s="2">
        <v>4</v>
      </c>
      <c r="Q14" s="2" t="str">
        <f>TEXT(tblOrders[[#This Row],[Order Date]],"mmm-yyyy")</f>
        <v>Jan-2026</v>
      </c>
      <c r="R14" s="3">
        <f>IF(N14="Cancelled",0,H14*INDEX(Assumptions!$C$7:$C$12,MATCH(F14,Assumptions!$B$7:$B$12,0)))</f>
        <v>310.91580000000005</v>
      </c>
      <c r="S14" s="3">
        <f>IF(N14="Cancelled",Assumptions!$C$19,IF(N14="Returned",Assumptions!$C$17+O14*Assumptions!$C$18+Assumptions!$C$20,Assumptions!$C$17+O14*Assumptions!$C$18))</f>
        <v>42.7</v>
      </c>
      <c r="T14" s="3">
        <f>R14+S14</f>
        <v>353.61580000000004</v>
      </c>
      <c r="U14" s="7">
        <f>K14-T14</f>
        <v>93.994199999999978</v>
      </c>
      <c r="V14" s="7">
        <f>IF(U14&gt;0,U14,0)</f>
        <v>93.994199999999978</v>
      </c>
      <c r="W14" s="5">
        <f>IF(U14&gt;0,U14/H14,0)</f>
        <v>0.23580492210431242</v>
      </c>
      <c r="X14" s="7">
        <f>IF(U14&lt;0,-U14,0)</f>
        <v>0</v>
      </c>
      <c r="Y14" s="5">
        <f>IF(U14&lt;0,-U14/H14,0)</f>
        <v>0</v>
      </c>
      <c r="Z14" s="2" t="str">
        <f>IF(U14&gt;=0,"Profitable",IF(N14="Cancelled","Order Cancelled",IF(N14="Returned","Order Returned",IF(AND(I14&gt;=0.15,U14&lt;0),"High Discount",IF(S14&gt;H14,"Delivery Cost Exceeded Order Value","Low Order Value / Thin Margin")))))</f>
        <v>Profitable</v>
      </c>
    </row>
    <row r="15" spans="1:26" x14ac:dyDescent="0.3">
      <c r="A15" s="2" t="s">
        <v>108</v>
      </c>
      <c r="B15" s="6">
        <v>46042.941666666702</v>
      </c>
      <c r="C15" s="2" t="s">
        <v>109</v>
      </c>
      <c r="D15" s="2" t="s">
        <v>77</v>
      </c>
      <c r="E15" s="2" t="s">
        <v>5</v>
      </c>
      <c r="F15" s="2" t="s">
        <v>4</v>
      </c>
      <c r="G15" s="2">
        <v>5</v>
      </c>
      <c r="H15" s="3">
        <v>362.26</v>
      </c>
      <c r="I15" s="4">
        <v>0.1</v>
      </c>
      <c r="J15" s="3">
        <v>39</v>
      </c>
      <c r="K15" s="7">
        <f t="shared" si="0"/>
        <v>365.03399999999999</v>
      </c>
      <c r="L15" s="2" t="s">
        <v>16</v>
      </c>
      <c r="M15" s="2" t="s">
        <v>110</v>
      </c>
      <c r="N15" s="2" t="s">
        <v>13</v>
      </c>
      <c r="O15" s="2">
        <v>84</v>
      </c>
      <c r="P15" s="2">
        <v>4</v>
      </c>
      <c r="Q15" s="2" t="str">
        <f>TEXT(tblOrders[[#This Row],[Order Date]],"mmm-yyyy")</f>
        <v>Jan-2026</v>
      </c>
      <c r="R15" s="3">
        <f>IF(N15="Cancelled",0,H15*INDEX(Assumptions!$C$7:$C$12,MATCH(F15,Assumptions!$B$7:$B$12,0)))</f>
        <v>282.56279999999998</v>
      </c>
      <c r="S15" s="3">
        <f>IF(N15="Cancelled",Assumptions!$C$19,IF(N15="Returned",Assumptions!$C$17+O15*Assumptions!$C$18+Assumptions!$C$20,Assumptions!$C$17+O15*Assumptions!$C$18))</f>
        <v>50.2</v>
      </c>
      <c r="T15" s="3">
        <f>R15+S15</f>
        <v>332.76279999999997</v>
      </c>
      <c r="U15" s="7">
        <f>K15-T15</f>
        <v>32.271200000000022</v>
      </c>
      <c r="V15" s="7">
        <f>IF(U15&gt;0,U15,0)</f>
        <v>32.271200000000022</v>
      </c>
      <c r="W15" s="5">
        <f>IF(U15&gt;0,U15/H15,0)</f>
        <v>8.9082979075801969E-2</v>
      </c>
      <c r="X15" s="7">
        <f>IF(U15&lt;0,-U15,0)</f>
        <v>0</v>
      </c>
      <c r="Y15" s="5">
        <f>IF(U15&lt;0,-U15/H15,0)</f>
        <v>0</v>
      </c>
      <c r="Z15" s="2" t="str">
        <f>IF(U15&gt;=0,"Profitable",IF(N15="Cancelled","Order Cancelled",IF(N15="Returned","Order Returned",IF(AND(I15&gt;=0.15,U15&lt;0),"High Discount",IF(S15&gt;H15,"Delivery Cost Exceeded Order Value","Low Order Value / Thin Margin")))))</f>
        <v>Profitable</v>
      </c>
    </row>
    <row r="16" spans="1:26" x14ac:dyDescent="0.3">
      <c r="A16" s="2" t="s">
        <v>111</v>
      </c>
      <c r="B16" s="6">
        <v>46042.947222222203</v>
      </c>
      <c r="C16" s="2" t="s">
        <v>112</v>
      </c>
      <c r="D16" s="2" t="s">
        <v>69</v>
      </c>
      <c r="E16" s="2" t="s">
        <v>3</v>
      </c>
      <c r="F16" s="2" t="s">
        <v>11</v>
      </c>
      <c r="G16" s="2">
        <v>3</v>
      </c>
      <c r="H16" s="3">
        <v>3578.56</v>
      </c>
      <c r="I16" s="4">
        <v>0</v>
      </c>
      <c r="J16" s="3">
        <v>0</v>
      </c>
      <c r="K16" s="7">
        <f t="shared" si="0"/>
        <v>3578.56</v>
      </c>
      <c r="L16" s="2" t="s">
        <v>19</v>
      </c>
      <c r="M16" s="2" t="s">
        <v>113</v>
      </c>
      <c r="N16" s="2" t="s">
        <v>13</v>
      </c>
      <c r="O16" s="2">
        <v>57</v>
      </c>
      <c r="P16" s="2">
        <v>4</v>
      </c>
      <c r="Q16" s="2" t="str">
        <f>TEXT(tblOrders[[#This Row],[Order Date]],"mmm-yyyy")</f>
        <v>Jan-2026</v>
      </c>
      <c r="R16" s="3">
        <f>IF(N16="Cancelled",0,H16*INDEX(Assumptions!$C$7:$C$12,MATCH(F16,Assumptions!$B$7:$B$12,0)))</f>
        <v>2326.0639999999999</v>
      </c>
      <c r="S16" s="3">
        <f>IF(N16="Cancelled",Assumptions!$C$19,IF(N16="Returned",Assumptions!$C$17+O16*Assumptions!$C$18+Assumptions!$C$20,Assumptions!$C$17+O16*Assumptions!$C$18))</f>
        <v>42.099999999999994</v>
      </c>
      <c r="T16" s="3">
        <f>R16+S16</f>
        <v>2368.1639999999998</v>
      </c>
      <c r="U16" s="7">
        <f>K16-T16</f>
        <v>1210.3960000000002</v>
      </c>
      <c r="V16" s="7">
        <f>IF(U16&gt;0,U16,0)</f>
        <v>1210.3960000000002</v>
      </c>
      <c r="W16" s="5">
        <f>IF(U16&gt;0,U16/H16,0)</f>
        <v>0.33823549137083081</v>
      </c>
      <c r="X16" s="7">
        <f>IF(U16&lt;0,-U16,0)</f>
        <v>0</v>
      </c>
      <c r="Y16" s="5">
        <f>IF(U16&lt;0,-U16/H16,0)</f>
        <v>0</v>
      </c>
      <c r="Z16" s="2" t="str">
        <f>IF(U16&gt;=0,"Profitable",IF(N16="Cancelled","Order Cancelled",IF(N16="Returned","Order Returned",IF(AND(I16&gt;=0.15,U16&lt;0),"High Discount",IF(S16&gt;H16,"Delivery Cost Exceeded Order Value","Low Order Value / Thin Margin")))))</f>
        <v>Profitable</v>
      </c>
    </row>
    <row r="17" spans="1:26" x14ac:dyDescent="0.3">
      <c r="A17" s="2" t="s">
        <v>114</v>
      </c>
      <c r="B17" s="6">
        <v>46043.568055555603</v>
      </c>
      <c r="C17" s="2" t="s">
        <v>115</v>
      </c>
      <c r="D17" s="2" t="s">
        <v>116</v>
      </c>
      <c r="E17" s="2" t="s">
        <v>3</v>
      </c>
      <c r="F17" s="2" t="s">
        <v>4</v>
      </c>
      <c r="G17" s="2">
        <v>5</v>
      </c>
      <c r="H17" s="3">
        <v>814.73</v>
      </c>
      <c r="I17" s="4">
        <v>0.1</v>
      </c>
      <c r="J17" s="3">
        <v>49</v>
      </c>
      <c r="K17" s="7">
        <f t="shared" si="0"/>
        <v>49</v>
      </c>
      <c r="L17" s="2" t="s">
        <v>19</v>
      </c>
      <c r="M17" s="2" t="s">
        <v>107</v>
      </c>
      <c r="N17" s="2" t="s">
        <v>17</v>
      </c>
      <c r="O17" s="2">
        <v>85</v>
      </c>
      <c r="P17" s="2">
        <v>2</v>
      </c>
      <c r="Q17" s="2" t="str">
        <f>TEXT(tblOrders[[#This Row],[Order Date]],"mmm-yyyy")</f>
        <v>Jan-2026</v>
      </c>
      <c r="R17" s="3">
        <f>IF(N17="Cancelled",0,H17*INDEX(Assumptions!$C$7:$C$12,MATCH(F17,Assumptions!$B$7:$B$12,0)))</f>
        <v>635.48940000000005</v>
      </c>
      <c r="S17" s="3">
        <f>IF(N17="Cancelled",Assumptions!$C$19,IF(N17="Returned",Assumptions!$C$17+O17*Assumptions!$C$18+Assumptions!$C$20,Assumptions!$C$17+O17*Assumptions!$C$18))</f>
        <v>70.5</v>
      </c>
      <c r="T17" s="3">
        <f>R17+S17</f>
        <v>705.98940000000005</v>
      </c>
      <c r="U17" s="7">
        <f>K17-T17</f>
        <v>-656.98940000000005</v>
      </c>
      <c r="V17" s="7">
        <f>IF(U17&gt;0,U17,0)</f>
        <v>0</v>
      </c>
      <c r="W17" s="5">
        <f>IF(U17&gt;0,U17/H17,0)</f>
        <v>0</v>
      </c>
      <c r="X17" s="7">
        <f>IF(U17&lt;0,-U17,0)</f>
        <v>656.98940000000005</v>
      </c>
      <c r="Y17" s="5">
        <f>IF(U17&lt;0,-U17/H17,0)</f>
        <v>0.80638911050286599</v>
      </c>
      <c r="Z17" s="2" t="str">
        <f>IF(U17&gt;=0,"Profitable",IF(N17="Cancelled","Order Cancelled",IF(N17="Returned","Order Returned",IF(AND(I17&gt;=0.15,U17&lt;0),"High Discount",IF(S17&gt;H17,"Delivery Cost Exceeded Order Value","Low Order Value / Thin Margin")))))</f>
        <v>Order Returned</v>
      </c>
    </row>
    <row r="18" spans="1:26" x14ac:dyDescent="0.3">
      <c r="A18" s="2" t="s">
        <v>117</v>
      </c>
      <c r="B18" s="6">
        <v>46044.490277777797</v>
      </c>
      <c r="C18" s="2" t="s">
        <v>118</v>
      </c>
      <c r="D18" s="2" t="s">
        <v>69</v>
      </c>
      <c r="E18" s="2" t="s">
        <v>3</v>
      </c>
      <c r="F18" s="2" t="s">
        <v>8</v>
      </c>
      <c r="G18" s="2">
        <v>2</v>
      </c>
      <c r="H18" s="3">
        <v>2855.25</v>
      </c>
      <c r="I18" s="4">
        <v>0.15</v>
      </c>
      <c r="J18" s="3">
        <v>0</v>
      </c>
      <c r="K18" s="7">
        <f t="shared" si="0"/>
        <v>2426.9625000000001</v>
      </c>
      <c r="L18" s="2" t="s">
        <v>19</v>
      </c>
      <c r="M18" s="2" t="s">
        <v>70</v>
      </c>
      <c r="N18" s="2" t="s">
        <v>13</v>
      </c>
      <c r="O18" s="2">
        <v>20</v>
      </c>
      <c r="P18" s="2">
        <v>3</v>
      </c>
      <c r="Q18" s="2" t="str">
        <f>TEXT(tblOrders[[#This Row],[Order Date]],"mmm-yyyy")</f>
        <v>Jan-2026</v>
      </c>
      <c r="R18" s="3">
        <f>IF(N18="Cancelled",0,H18*INDEX(Assumptions!$C$7:$C$12,MATCH(F18,Assumptions!$B$7:$B$12,0)))</f>
        <v>1570.3875</v>
      </c>
      <c r="S18" s="3">
        <f>IF(N18="Cancelled",Assumptions!$C$19,IF(N18="Returned",Assumptions!$C$17+O18*Assumptions!$C$18+Assumptions!$C$20,Assumptions!$C$17+O18*Assumptions!$C$18))</f>
        <v>31</v>
      </c>
      <c r="T18" s="3">
        <f>R18+S18</f>
        <v>1601.3875</v>
      </c>
      <c r="U18" s="7">
        <f>K18-T18</f>
        <v>825.57500000000005</v>
      </c>
      <c r="V18" s="7">
        <f>IF(U18&gt;0,U18,0)</f>
        <v>825.57500000000005</v>
      </c>
      <c r="W18" s="5">
        <f>IF(U18&gt;0,U18/H18,0)</f>
        <v>0.28914280710971019</v>
      </c>
      <c r="X18" s="7">
        <f>IF(U18&lt;0,-U18,0)</f>
        <v>0</v>
      </c>
      <c r="Y18" s="5">
        <f>IF(U18&lt;0,-U18/H18,0)</f>
        <v>0</v>
      </c>
      <c r="Z18" s="2" t="str">
        <f>IF(U18&gt;=0,"Profitable",IF(N18="Cancelled","Order Cancelled",IF(N18="Returned","Order Returned",IF(AND(I18&gt;=0.15,U18&lt;0),"High Discount",IF(S18&gt;H18,"Delivery Cost Exceeded Order Value","Low Order Value / Thin Margin")))))</f>
        <v>Profitable</v>
      </c>
    </row>
    <row r="19" spans="1:26" x14ac:dyDescent="0.3">
      <c r="A19" s="2" t="s">
        <v>119</v>
      </c>
      <c r="B19" s="6">
        <v>46044.570833333302</v>
      </c>
      <c r="C19" s="2" t="s">
        <v>120</v>
      </c>
      <c r="D19" s="2" t="s">
        <v>77</v>
      </c>
      <c r="E19" s="2" t="s">
        <v>3</v>
      </c>
      <c r="F19" s="2" t="s">
        <v>11</v>
      </c>
      <c r="G19" s="2">
        <v>4</v>
      </c>
      <c r="H19" s="3">
        <v>3828.5</v>
      </c>
      <c r="I19" s="4">
        <v>0.15</v>
      </c>
      <c r="J19" s="3">
        <v>0</v>
      </c>
      <c r="K19" s="7">
        <f t="shared" si="0"/>
        <v>3254.2249999999999</v>
      </c>
      <c r="L19" s="2" t="s">
        <v>16</v>
      </c>
      <c r="M19" s="2" t="s">
        <v>110</v>
      </c>
      <c r="N19" s="2" t="s">
        <v>13</v>
      </c>
      <c r="O19" s="2">
        <v>29</v>
      </c>
      <c r="P19" s="2">
        <v>5</v>
      </c>
      <c r="Q19" s="2" t="str">
        <f>TEXT(tblOrders[[#This Row],[Order Date]],"mmm-yyyy")</f>
        <v>Jan-2026</v>
      </c>
      <c r="R19" s="3">
        <f>IF(N19="Cancelled",0,H19*INDEX(Assumptions!$C$7:$C$12,MATCH(F19,Assumptions!$B$7:$B$12,0)))</f>
        <v>2488.5250000000001</v>
      </c>
      <c r="S19" s="3">
        <f>IF(N19="Cancelled",Assumptions!$C$19,IF(N19="Returned",Assumptions!$C$17+O19*Assumptions!$C$18+Assumptions!$C$20,Assumptions!$C$17+O19*Assumptions!$C$18))</f>
        <v>33.700000000000003</v>
      </c>
      <c r="T19" s="3">
        <f>R19+S19</f>
        <v>2522.2249999999999</v>
      </c>
      <c r="U19" s="7">
        <f>K19-T19</f>
        <v>732</v>
      </c>
      <c r="V19" s="7">
        <f>IF(U19&gt;0,U19,0)</f>
        <v>732</v>
      </c>
      <c r="W19" s="5">
        <f>IF(U19&gt;0,U19/H19,0)</f>
        <v>0.19119759697009273</v>
      </c>
      <c r="X19" s="7">
        <f>IF(U19&lt;0,-U19,0)</f>
        <v>0</v>
      </c>
      <c r="Y19" s="5">
        <f>IF(U19&lt;0,-U19/H19,0)</f>
        <v>0</v>
      </c>
      <c r="Z19" s="2" t="str">
        <f>IF(U19&gt;=0,"Profitable",IF(N19="Cancelled","Order Cancelled",IF(N19="Returned","Order Returned",IF(AND(I19&gt;=0.15,U19&lt;0),"High Discount",IF(S19&gt;H19,"Delivery Cost Exceeded Order Value","Low Order Value / Thin Margin")))))</f>
        <v>Profitable</v>
      </c>
    </row>
    <row r="20" spans="1:26" x14ac:dyDescent="0.3">
      <c r="A20" s="2" t="s">
        <v>121</v>
      </c>
      <c r="B20" s="6">
        <v>46045.686805555597</v>
      </c>
      <c r="C20" s="2" t="s">
        <v>122</v>
      </c>
      <c r="D20" s="2" t="s">
        <v>81</v>
      </c>
      <c r="E20" s="2" t="s">
        <v>3</v>
      </c>
      <c r="F20" s="2" t="s">
        <v>4</v>
      </c>
      <c r="G20" s="2">
        <v>5</v>
      </c>
      <c r="H20" s="3">
        <v>973.73</v>
      </c>
      <c r="I20" s="4">
        <v>0.15</v>
      </c>
      <c r="J20" s="3">
        <v>39</v>
      </c>
      <c r="K20" s="7">
        <f t="shared" si="0"/>
        <v>866.67049999999995</v>
      </c>
      <c r="L20" s="2" t="s">
        <v>19</v>
      </c>
      <c r="M20" s="2" t="s">
        <v>82</v>
      </c>
      <c r="N20" s="2" t="s">
        <v>13</v>
      </c>
      <c r="O20" s="2">
        <v>81</v>
      </c>
      <c r="P20" s="2">
        <v>3</v>
      </c>
      <c r="Q20" s="2" t="str">
        <f>TEXT(tblOrders[[#This Row],[Order Date]],"mmm-yyyy")</f>
        <v>Jan-2026</v>
      </c>
      <c r="R20" s="3">
        <f>IF(N20="Cancelled",0,H20*INDEX(Assumptions!$C$7:$C$12,MATCH(F20,Assumptions!$B$7:$B$12,0)))</f>
        <v>759.50940000000003</v>
      </c>
      <c r="S20" s="3">
        <f>IF(N20="Cancelled",Assumptions!$C$19,IF(N20="Returned",Assumptions!$C$17+O20*Assumptions!$C$18+Assumptions!$C$20,Assumptions!$C$17+O20*Assumptions!$C$18))</f>
        <v>49.3</v>
      </c>
      <c r="T20" s="3">
        <f>R20+S20</f>
        <v>808.80939999999998</v>
      </c>
      <c r="U20" s="7">
        <f>K20-T20</f>
        <v>57.861099999999965</v>
      </c>
      <c r="V20" s="7">
        <f>IF(U20&gt;0,U20,0)</f>
        <v>57.861099999999965</v>
      </c>
      <c r="W20" s="5">
        <f>IF(U20&gt;0,U20/H20,0)</f>
        <v>5.9422119067914066E-2</v>
      </c>
      <c r="X20" s="7">
        <f>IF(U20&lt;0,-U20,0)</f>
        <v>0</v>
      </c>
      <c r="Y20" s="5">
        <f>IF(U20&lt;0,-U20/H20,0)</f>
        <v>0</v>
      </c>
      <c r="Z20" s="2" t="str">
        <f>IF(U20&gt;=0,"Profitable",IF(N20="Cancelled","Order Cancelled",IF(N20="Returned","Order Returned",IF(AND(I20&gt;=0.15,U20&lt;0),"High Discount",IF(S20&gt;H20,"Delivery Cost Exceeded Order Value","Low Order Value / Thin Margin")))))</f>
        <v>Profitable</v>
      </c>
    </row>
    <row r="21" spans="1:26" x14ac:dyDescent="0.3">
      <c r="A21" s="2" t="s">
        <v>123</v>
      </c>
      <c r="B21" s="6">
        <v>46046.343055555597</v>
      </c>
      <c r="C21" s="2" t="s">
        <v>124</v>
      </c>
      <c r="D21" s="2" t="s">
        <v>81</v>
      </c>
      <c r="E21" s="2" t="s">
        <v>3</v>
      </c>
      <c r="F21" s="2" t="s">
        <v>9</v>
      </c>
      <c r="G21" s="2">
        <v>4</v>
      </c>
      <c r="H21" s="3">
        <v>100.55</v>
      </c>
      <c r="I21" s="4">
        <v>0.1</v>
      </c>
      <c r="J21" s="3">
        <v>39</v>
      </c>
      <c r="K21" s="7">
        <f t="shared" si="0"/>
        <v>129.495</v>
      </c>
      <c r="L21" s="2" t="s">
        <v>16</v>
      </c>
      <c r="M21" s="2" t="s">
        <v>113</v>
      </c>
      <c r="N21" s="2" t="s">
        <v>13</v>
      </c>
      <c r="O21" s="2">
        <v>40</v>
      </c>
      <c r="P21" s="2">
        <v>4</v>
      </c>
      <c r="Q21" s="2" t="str">
        <f>TEXT(tblOrders[[#This Row],[Order Date]],"mmm-yyyy")</f>
        <v>Jan-2026</v>
      </c>
      <c r="R21" s="3">
        <f>IF(N21="Cancelled",0,H21*INDEX(Assumptions!$C$7:$C$12,MATCH(F21,Assumptions!$B$7:$B$12,0)))</f>
        <v>45.247500000000002</v>
      </c>
      <c r="S21" s="3">
        <f>IF(N21="Cancelled",Assumptions!$C$19,IF(N21="Returned",Assumptions!$C$17+O21*Assumptions!$C$18+Assumptions!$C$20,Assumptions!$C$17+O21*Assumptions!$C$18))</f>
        <v>37</v>
      </c>
      <c r="T21" s="3">
        <f>R21+S21</f>
        <v>82.247500000000002</v>
      </c>
      <c r="U21" s="7">
        <f>K21-T21</f>
        <v>47.247500000000002</v>
      </c>
      <c r="V21" s="7">
        <f>IF(U21&gt;0,U21,0)</f>
        <v>47.247500000000002</v>
      </c>
      <c r="W21" s="5">
        <f>IF(U21&gt;0,U21/H21,0)</f>
        <v>0.46989060169070118</v>
      </c>
      <c r="X21" s="7">
        <f>IF(U21&lt;0,-U21,0)</f>
        <v>0</v>
      </c>
      <c r="Y21" s="5">
        <f>IF(U21&lt;0,-U21/H21,0)</f>
        <v>0</v>
      </c>
      <c r="Z21" s="2" t="str">
        <f>IF(U21&gt;=0,"Profitable",IF(N21="Cancelled","Order Cancelled",IF(N21="Returned","Order Returned",IF(AND(I21&gt;=0.15,U21&lt;0),"High Discount",IF(S21&gt;H21,"Delivery Cost Exceeded Order Value","Low Order Value / Thin Margin")))))</f>
        <v>Profitable</v>
      </c>
    </row>
    <row r="22" spans="1:26" x14ac:dyDescent="0.3">
      <c r="A22" s="2" t="s">
        <v>125</v>
      </c>
      <c r="B22" s="6">
        <v>46046.811805555597</v>
      </c>
      <c r="C22" s="2" t="s">
        <v>126</v>
      </c>
      <c r="D22" s="2" t="s">
        <v>87</v>
      </c>
      <c r="E22" s="2" t="s">
        <v>5</v>
      </c>
      <c r="F22" s="2" t="s">
        <v>9</v>
      </c>
      <c r="G22" s="2">
        <v>1</v>
      </c>
      <c r="H22" s="3">
        <v>736.54</v>
      </c>
      <c r="I22" s="4">
        <v>0.05</v>
      </c>
      <c r="J22" s="3">
        <v>39</v>
      </c>
      <c r="K22" s="7">
        <f t="shared" si="0"/>
        <v>738.71299999999997</v>
      </c>
      <c r="L22" s="2" t="s">
        <v>19</v>
      </c>
      <c r="M22" s="2" t="s">
        <v>88</v>
      </c>
      <c r="N22" s="2" t="s">
        <v>13</v>
      </c>
      <c r="O22" s="2">
        <v>81</v>
      </c>
      <c r="P22" s="2">
        <v>4</v>
      </c>
      <c r="Q22" s="2" t="str">
        <f>TEXT(tblOrders[[#This Row],[Order Date]],"mmm-yyyy")</f>
        <v>Jan-2026</v>
      </c>
      <c r="R22" s="3">
        <f>IF(N22="Cancelled",0,H22*INDEX(Assumptions!$C$7:$C$12,MATCH(F22,Assumptions!$B$7:$B$12,0)))</f>
        <v>331.44299999999998</v>
      </c>
      <c r="S22" s="3">
        <f>IF(N22="Cancelled",Assumptions!$C$19,IF(N22="Returned",Assumptions!$C$17+O22*Assumptions!$C$18+Assumptions!$C$20,Assumptions!$C$17+O22*Assumptions!$C$18))</f>
        <v>49.3</v>
      </c>
      <c r="T22" s="3">
        <f>R22+S22</f>
        <v>380.74299999999999</v>
      </c>
      <c r="U22" s="7">
        <f>K22-T22</f>
        <v>357.96999999999997</v>
      </c>
      <c r="V22" s="7">
        <f>IF(U22&gt;0,U22,0)</f>
        <v>357.96999999999997</v>
      </c>
      <c r="W22" s="5">
        <f>IF(U22&gt;0,U22/H22,0)</f>
        <v>0.4860156950063812</v>
      </c>
      <c r="X22" s="7">
        <f>IF(U22&lt;0,-U22,0)</f>
        <v>0</v>
      </c>
      <c r="Y22" s="5">
        <f>IF(U22&lt;0,-U22/H22,0)</f>
        <v>0</v>
      </c>
      <c r="Z22" s="2" t="str">
        <f>IF(U22&gt;=0,"Profitable",IF(N22="Cancelled","Order Cancelled",IF(N22="Returned","Order Returned",IF(AND(I22&gt;=0.15,U22&lt;0),"High Discount",IF(S22&gt;H22,"Delivery Cost Exceeded Order Value","Low Order Value / Thin Margin")))))</f>
        <v>Profitable</v>
      </c>
    </row>
    <row r="23" spans="1:26" x14ac:dyDescent="0.3">
      <c r="A23" s="2" t="s">
        <v>127</v>
      </c>
      <c r="B23" s="6">
        <v>46046.850694444503</v>
      </c>
      <c r="C23" s="2" t="s">
        <v>128</v>
      </c>
      <c r="D23" s="2" t="s">
        <v>87</v>
      </c>
      <c r="E23" s="2" t="s">
        <v>3</v>
      </c>
      <c r="F23" s="2" t="s">
        <v>4</v>
      </c>
      <c r="G23" s="2">
        <v>4</v>
      </c>
      <c r="H23" s="3">
        <v>537.01</v>
      </c>
      <c r="I23" s="4">
        <v>0.15</v>
      </c>
      <c r="J23" s="3">
        <v>49</v>
      </c>
      <c r="K23" s="7">
        <f t="shared" si="0"/>
        <v>505.45849999999996</v>
      </c>
      <c r="L23" s="2" t="s">
        <v>19</v>
      </c>
      <c r="M23" s="2" t="s">
        <v>94</v>
      </c>
      <c r="N23" s="2" t="s">
        <v>13</v>
      </c>
      <c r="O23" s="2">
        <v>65</v>
      </c>
      <c r="P23" s="2">
        <v>3</v>
      </c>
      <c r="Q23" s="2" t="str">
        <f>TEXT(tblOrders[[#This Row],[Order Date]],"mmm-yyyy")</f>
        <v>Jan-2026</v>
      </c>
      <c r="R23" s="3">
        <f>IF(N23="Cancelled",0,H23*INDEX(Assumptions!$C$7:$C$12,MATCH(F23,Assumptions!$B$7:$B$12,0)))</f>
        <v>418.86779999999999</v>
      </c>
      <c r="S23" s="3">
        <f>IF(N23="Cancelled",Assumptions!$C$19,IF(N23="Returned",Assumptions!$C$17+O23*Assumptions!$C$18+Assumptions!$C$20,Assumptions!$C$17+O23*Assumptions!$C$18))</f>
        <v>44.5</v>
      </c>
      <c r="T23" s="3">
        <f>R23+S23</f>
        <v>463.36779999999999</v>
      </c>
      <c r="U23" s="7">
        <f>K23-T23</f>
        <v>42.09069999999997</v>
      </c>
      <c r="V23" s="7">
        <f>IF(U23&gt;0,U23,0)</f>
        <v>42.09069999999997</v>
      </c>
      <c r="W23" s="5">
        <f>IF(U23&gt;0,U23/H23,0)</f>
        <v>7.8379732221001419E-2</v>
      </c>
      <c r="X23" s="7">
        <f>IF(U23&lt;0,-U23,0)</f>
        <v>0</v>
      </c>
      <c r="Y23" s="5">
        <f>IF(U23&lt;0,-U23/H23,0)</f>
        <v>0</v>
      </c>
      <c r="Z23" s="2" t="str">
        <f>IF(U23&gt;=0,"Profitable",IF(N23="Cancelled","Order Cancelled",IF(N23="Returned","Order Returned",IF(AND(I23&gt;=0.15,U23&lt;0),"High Discount",IF(S23&gt;H23,"Delivery Cost Exceeded Order Value","Low Order Value / Thin Margin")))))</f>
        <v>Profitable</v>
      </c>
    </row>
    <row r="24" spans="1:26" x14ac:dyDescent="0.3">
      <c r="A24" s="2" t="s">
        <v>129</v>
      </c>
      <c r="B24" s="6">
        <v>46046.938888888901</v>
      </c>
      <c r="C24" s="2" t="s">
        <v>130</v>
      </c>
      <c r="D24" s="2" t="s">
        <v>131</v>
      </c>
      <c r="E24" s="2" t="s">
        <v>3</v>
      </c>
      <c r="F24" s="2" t="s">
        <v>8</v>
      </c>
      <c r="G24" s="2">
        <v>2</v>
      </c>
      <c r="H24" s="3">
        <v>2199.02</v>
      </c>
      <c r="I24" s="4">
        <v>0.05</v>
      </c>
      <c r="J24" s="3">
        <v>0</v>
      </c>
      <c r="K24" s="7">
        <f t="shared" si="0"/>
        <v>2089.069</v>
      </c>
      <c r="L24" s="2" t="s">
        <v>14</v>
      </c>
      <c r="M24" s="2" t="s">
        <v>132</v>
      </c>
      <c r="N24" s="2" t="s">
        <v>13</v>
      </c>
      <c r="O24" s="2">
        <v>57</v>
      </c>
      <c r="P24" s="2">
        <v>5</v>
      </c>
      <c r="Q24" s="2" t="str">
        <f>TEXT(tblOrders[[#This Row],[Order Date]],"mmm-yyyy")</f>
        <v>Jan-2026</v>
      </c>
      <c r="R24" s="3">
        <f>IF(N24="Cancelled",0,H24*INDEX(Assumptions!$C$7:$C$12,MATCH(F24,Assumptions!$B$7:$B$12,0)))</f>
        <v>1209.461</v>
      </c>
      <c r="S24" s="3">
        <f>IF(N24="Cancelled",Assumptions!$C$19,IF(N24="Returned",Assumptions!$C$17+O24*Assumptions!$C$18+Assumptions!$C$20,Assumptions!$C$17+O24*Assumptions!$C$18))</f>
        <v>42.099999999999994</v>
      </c>
      <c r="T24" s="3">
        <f>R24+S24</f>
        <v>1251.5609999999999</v>
      </c>
      <c r="U24" s="7">
        <f>K24-T24</f>
        <v>837.50800000000004</v>
      </c>
      <c r="V24" s="7">
        <f>IF(U24&gt;0,U24,0)</f>
        <v>837.50800000000004</v>
      </c>
      <c r="W24" s="5">
        <f>IF(U24&gt;0,U24/H24,0)</f>
        <v>0.38085510818455498</v>
      </c>
      <c r="X24" s="7">
        <f>IF(U24&lt;0,-U24,0)</f>
        <v>0</v>
      </c>
      <c r="Y24" s="5">
        <f>IF(U24&lt;0,-U24/H24,0)</f>
        <v>0</v>
      </c>
      <c r="Z24" s="2" t="str">
        <f>IF(U24&gt;=0,"Profitable",IF(N24="Cancelled","Order Cancelled",IF(N24="Returned","Order Returned",IF(AND(I24&gt;=0.15,U24&lt;0),"High Discount",IF(S24&gt;H24,"Delivery Cost Exceeded Order Value","Low Order Value / Thin Margin")))))</f>
        <v>Profitable</v>
      </c>
    </row>
    <row r="25" spans="1:26" x14ac:dyDescent="0.3">
      <c r="A25" s="2" t="s">
        <v>133</v>
      </c>
      <c r="B25" s="6">
        <v>46046.95</v>
      </c>
      <c r="C25" s="2" t="s">
        <v>134</v>
      </c>
      <c r="D25" s="2" t="s">
        <v>73</v>
      </c>
      <c r="E25" s="2" t="s">
        <v>3</v>
      </c>
      <c r="F25" s="2" t="s">
        <v>10</v>
      </c>
      <c r="G25" s="2">
        <v>4</v>
      </c>
      <c r="H25" s="3">
        <v>763.53</v>
      </c>
      <c r="I25" s="4">
        <v>0.2</v>
      </c>
      <c r="J25" s="3">
        <v>59</v>
      </c>
      <c r="K25" s="7">
        <f t="shared" si="0"/>
        <v>669.82399999999996</v>
      </c>
      <c r="L25" s="2" t="s">
        <v>14</v>
      </c>
      <c r="M25" s="2" t="s">
        <v>78</v>
      </c>
      <c r="N25" s="2" t="s">
        <v>13</v>
      </c>
      <c r="O25" s="2">
        <v>18</v>
      </c>
      <c r="P25" s="2">
        <v>4</v>
      </c>
      <c r="Q25" s="2" t="str">
        <f>TEXT(tblOrders[[#This Row],[Order Date]],"mmm-yyyy")</f>
        <v>Jan-2026</v>
      </c>
      <c r="R25" s="3">
        <f>IF(N25="Cancelled",0,H25*INDEX(Assumptions!$C$7:$C$12,MATCH(F25,Assumptions!$B$7:$B$12,0)))</f>
        <v>534.471</v>
      </c>
      <c r="S25" s="3">
        <f>IF(N25="Cancelled",Assumptions!$C$19,IF(N25="Returned",Assumptions!$C$17+O25*Assumptions!$C$18+Assumptions!$C$20,Assumptions!$C$17+O25*Assumptions!$C$18))</f>
        <v>30.4</v>
      </c>
      <c r="T25" s="3">
        <f>R25+S25</f>
        <v>564.87099999999998</v>
      </c>
      <c r="U25" s="7">
        <f>K25-T25</f>
        <v>104.95299999999997</v>
      </c>
      <c r="V25" s="7">
        <f>IF(U25&gt;0,U25,0)</f>
        <v>104.95299999999997</v>
      </c>
      <c r="W25" s="5">
        <f>IF(U25&gt;0,U25/H25,0)</f>
        <v>0.13745759826071011</v>
      </c>
      <c r="X25" s="7">
        <f>IF(U25&lt;0,-U25,0)</f>
        <v>0</v>
      </c>
      <c r="Y25" s="5">
        <f>IF(U25&lt;0,-U25/H25,0)</f>
        <v>0</v>
      </c>
      <c r="Z25" s="2" t="str">
        <f>IF(U25&gt;=0,"Profitable",IF(N25="Cancelled","Order Cancelled",IF(N25="Returned","Order Returned",IF(AND(I25&gt;=0.15,U25&lt;0),"High Discount",IF(S25&gt;H25,"Delivery Cost Exceeded Order Value","Low Order Value / Thin Margin")))))</f>
        <v>Profitable</v>
      </c>
    </row>
    <row r="26" spans="1:26" x14ac:dyDescent="0.3">
      <c r="A26" s="2" t="s">
        <v>135</v>
      </c>
      <c r="B26" s="6">
        <v>46047.656944444498</v>
      </c>
      <c r="C26" s="2" t="s">
        <v>136</v>
      </c>
      <c r="D26" s="2" t="s">
        <v>81</v>
      </c>
      <c r="E26" s="2" t="s">
        <v>3</v>
      </c>
      <c r="F26" s="2" t="s">
        <v>9</v>
      </c>
      <c r="G26" s="2">
        <v>3</v>
      </c>
      <c r="H26" s="3">
        <v>135.75</v>
      </c>
      <c r="I26" s="4">
        <v>0.15</v>
      </c>
      <c r="J26" s="3">
        <v>29</v>
      </c>
      <c r="K26" s="7">
        <f t="shared" si="0"/>
        <v>144.38749999999999</v>
      </c>
      <c r="L26" s="2" t="s">
        <v>14</v>
      </c>
      <c r="M26" s="2" t="s">
        <v>137</v>
      </c>
      <c r="N26" s="2" t="s">
        <v>13</v>
      </c>
      <c r="O26" s="2">
        <v>31</v>
      </c>
      <c r="P26" s="2">
        <v>5</v>
      </c>
      <c r="Q26" s="2" t="str">
        <f>TEXT(tblOrders[[#This Row],[Order Date]],"mmm-yyyy")</f>
        <v>Jan-2026</v>
      </c>
      <c r="R26" s="3">
        <f>IF(N26="Cancelled",0,H26*INDEX(Assumptions!$C$7:$C$12,MATCH(F26,Assumptions!$B$7:$B$12,0)))</f>
        <v>61.087499999999999</v>
      </c>
      <c r="S26" s="3">
        <f>IF(N26="Cancelled",Assumptions!$C$19,IF(N26="Returned",Assumptions!$C$17+O26*Assumptions!$C$18+Assumptions!$C$20,Assumptions!$C$17+O26*Assumptions!$C$18))</f>
        <v>34.299999999999997</v>
      </c>
      <c r="T26" s="3">
        <f>R26+S26</f>
        <v>95.387499999999989</v>
      </c>
      <c r="U26" s="7">
        <f>K26-T26</f>
        <v>49</v>
      </c>
      <c r="V26" s="7">
        <f>IF(U26&gt;0,U26,0)</f>
        <v>49</v>
      </c>
      <c r="W26" s="5">
        <f>IF(U26&gt;0,U26/H26,0)</f>
        <v>0.36095764272559855</v>
      </c>
      <c r="X26" s="7">
        <f>IF(U26&lt;0,-U26,0)</f>
        <v>0</v>
      </c>
      <c r="Y26" s="5">
        <f>IF(U26&lt;0,-U26/H26,0)</f>
        <v>0</v>
      </c>
      <c r="Z26" s="2" t="str">
        <f>IF(U26&gt;=0,"Profitable",IF(N26="Cancelled","Order Cancelled",IF(N26="Returned","Order Returned",IF(AND(I26&gt;=0.15,U26&lt;0),"High Discount",IF(S26&gt;H26,"Delivery Cost Exceeded Order Value","Low Order Value / Thin Margin")))))</f>
        <v>Profitable</v>
      </c>
    </row>
    <row r="27" spans="1:26" x14ac:dyDescent="0.3">
      <c r="A27" s="2" t="s">
        <v>138</v>
      </c>
      <c r="B27" s="6">
        <v>46048.593055555597</v>
      </c>
      <c r="C27" s="2" t="s">
        <v>139</v>
      </c>
      <c r="D27" s="2" t="s">
        <v>116</v>
      </c>
      <c r="E27" s="2" t="s">
        <v>3</v>
      </c>
      <c r="F27" s="2" t="s">
        <v>10</v>
      </c>
      <c r="G27" s="2">
        <v>5</v>
      </c>
      <c r="H27" s="3">
        <v>1435.9</v>
      </c>
      <c r="I27" s="4">
        <v>0.05</v>
      </c>
      <c r="J27" s="3">
        <v>0</v>
      </c>
      <c r="K27" s="7">
        <f t="shared" si="0"/>
        <v>1364.105</v>
      </c>
      <c r="L27" s="2" t="s">
        <v>18</v>
      </c>
      <c r="M27" s="2" t="s">
        <v>140</v>
      </c>
      <c r="N27" s="2" t="s">
        <v>13</v>
      </c>
      <c r="O27" s="2">
        <v>52</v>
      </c>
      <c r="P27" s="2">
        <v>4</v>
      </c>
      <c r="Q27" s="2" t="str">
        <f>TEXT(tblOrders[[#This Row],[Order Date]],"mmm-yyyy")</f>
        <v>Jan-2026</v>
      </c>
      <c r="R27" s="3">
        <f>IF(N27="Cancelled",0,H27*INDEX(Assumptions!$C$7:$C$12,MATCH(F27,Assumptions!$B$7:$B$12,0)))</f>
        <v>1005.13</v>
      </c>
      <c r="S27" s="3">
        <f>IF(N27="Cancelled",Assumptions!$C$19,IF(N27="Returned",Assumptions!$C$17+O27*Assumptions!$C$18+Assumptions!$C$20,Assumptions!$C$17+O27*Assumptions!$C$18))</f>
        <v>40.6</v>
      </c>
      <c r="T27" s="3">
        <f>R27+S27</f>
        <v>1045.73</v>
      </c>
      <c r="U27" s="7">
        <f>K27-T27</f>
        <v>318.375</v>
      </c>
      <c r="V27" s="7">
        <f>IF(U27&gt;0,U27,0)</f>
        <v>318.375</v>
      </c>
      <c r="W27" s="5">
        <f>IF(U27&gt;0,U27/H27,0)</f>
        <v>0.22172505049098126</v>
      </c>
      <c r="X27" s="7">
        <f>IF(U27&lt;0,-U27,0)</f>
        <v>0</v>
      </c>
      <c r="Y27" s="5">
        <f>IF(U27&lt;0,-U27/H27,0)</f>
        <v>0</v>
      </c>
      <c r="Z27" s="2" t="str">
        <f>IF(U27&gt;=0,"Profitable",IF(N27="Cancelled","Order Cancelled",IF(N27="Returned","Order Returned",IF(AND(I27&gt;=0.15,U27&lt;0),"High Discount",IF(S27&gt;H27,"Delivery Cost Exceeded Order Value","Low Order Value / Thin Margin")))))</f>
        <v>Profitable</v>
      </c>
    </row>
    <row r="28" spans="1:26" x14ac:dyDescent="0.3">
      <c r="A28" s="2" t="s">
        <v>141</v>
      </c>
      <c r="B28" s="6">
        <v>46048.706944444399</v>
      </c>
      <c r="C28" s="2" t="s">
        <v>142</v>
      </c>
      <c r="D28" s="2" t="s">
        <v>97</v>
      </c>
      <c r="E28" s="2" t="s">
        <v>5</v>
      </c>
      <c r="F28" s="2" t="s">
        <v>8</v>
      </c>
      <c r="G28" s="2">
        <v>4</v>
      </c>
      <c r="H28" s="3">
        <v>3522.45</v>
      </c>
      <c r="I28" s="4">
        <v>0</v>
      </c>
      <c r="J28" s="3">
        <v>0</v>
      </c>
      <c r="K28" s="7">
        <f t="shared" si="0"/>
        <v>3522.45</v>
      </c>
      <c r="L28" s="2" t="s">
        <v>14</v>
      </c>
      <c r="M28" s="2" t="s">
        <v>143</v>
      </c>
      <c r="N28" s="2" t="s">
        <v>13</v>
      </c>
      <c r="O28" s="2">
        <v>51</v>
      </c>
      <c r="P28" s="2">
        <v>4</v>
      </c>
      <c r="Q28" s="2" t="str">
        <f>TEXT(tblOrders[[#This Row],[Order Date]],"mmm-yyyy")</f>
        <v>Jan-2026</v>
      </c>
      <c r="R28" s="3">
        <f>IF(N28="Cancelled",0,H28*INDEX(Assumptions!$C$7:$C$12,MATCH(F28,Assumptions!$B$7:$B$12,0)))</f>
        <v>1937.3475000000001</v>
      </c>
      <c r="S28" s="3">
        <f>IF(N28="Cancelled",Assumptions!$C$19,IF(N28="Returned",Assumptions!$C$17+O28*Assumptions!$C$18+Assumptions!$C$20,Assumptions!$C$17+O28*Assumptions!$C$18))</f>
        <v>40.299999999999997</v>
      </c>
      <c r="T28" s="3">
        <f>R28+S28</f>
        <v>1977.6475</v>
      </c>
      <c r="U28" s="7">
        <f>K28-T28</f>
        <v>1544.8024999999998</v>
      </c>
      <c r="V28" s="7">
        <f>IF(U28&gt;0,U28,0)</f>
        <v>1544.8024999999998</v>
      </c>
      <c r="W28" s="5">
        <f>IF(U28&gt;0,U28/H28,0)</f>
        <v>0.43855909949041144</v>
      </c>
      <c r="X28" s="7">
        <f>IF(U28&lt;0,-U28,0)</f>
        <v>0</v>
      </c>
      <c r="Y28" s="5">
        <f>IF(U28&lt;0,-U28/H28,0)</f>
        <v>0</v>
      </c>
      <c r="Z28" s="2" t="str">
        <f>IF(U28&gt;=0,"Profitable",IF(N28="Cancelled","Order Cancelled",IF(N28="Returned","Order Returned",IF(AND(I28&gt;=0.15,U28&lt;0),"High Discount",IF(S28&gt;H28,"Delivery Cost Exceeded Order Value","Low Order Value / Thin Margin")))))</f>
        <v>Profitable</v>
      </c>
    </row>
    <row r="29" spans="1:26" x14ac:dyDescent="0.3">
      <c r="A29" s="2" t="s">
        <v>144</v>
      </c>
      <c r="B29" s="6">
        <v>46048.861111111102</v>
      </c>
      <c r="C29" s="2" t="s">
        <v>145</v>
      </c>
      <c r="D29" s="2" t="s">
        <v>69</v>
      </c>
      <c r="E29" s="2" t="s">
        <v>3</v>
      </c>
      <c r="F29" s="2" t="s">
        <v>9</v>
      </c>
      <c r="G29" s="2">
        <v>2</v>
      </c>
      <c r="H29" s="3">
        <v>655.20000000000005</v>
      </c>
      <c r="I29" s="4">
        <v>0</v>
      </c>
      <c r="J29" s="3">
        <v>29</v>
      </c>
      <c r="K29" s="7">
        <f t="shared" si="0"/>
        <v>684.2</v>
      </c>
      <c r="L29" s="2" t="s">
        <v>18</v>
      </c>
      <c r="M29" s="2" t="s">
        <v>146</v>
      </c>
      <c r="N29" s="2" t="s">
        <v>13</v>
      </c>
      <c r="O29" s="2">
        <v>55</v>
      </c>
      <c r="P29" s="2">
        <v>4</v>
      </c>
      <c r="Q29" s="2" t="str">
        <f>TEXT(tblOrders[[#This Row],[Order Date]],"mmm-yyyy")</f>
        <v>Jan-2026</v>
      </c>
      <c r="R29" s="3">
        <f>IF(N29="Cancelled",0,H29*INDEX(Assumptions!$C$7:$C$12,MATCH(F29,Assumptions!$B$7:$B$12,0)))</f>
        <v>294.84000000000003</v>
      </c>
      <c r="S29" s="3">
        <f>IF(N29="Cancelled",Assumptions!$C$19,IF(N29="Returned",Assumptions!$C$17+O29*Assumptions!$C$18+Assumptions!$C$20,Assumptions!$C$17+O29*Assumptions!$C$18))</f>
        <v>41.5</v>
      </c>
      <c r="T29" s="3">
        <f>R29+S29</f>
        <v>336.34000000000003</v>
      </c>
      <c r="U29" s="7">
        <f>K29-T29</f>
        <v>347.86</v>
      </c>
      <c r="V29" s="7">
        <f>IF(U29&gt;0,U29,0)</f>
        <v>347.86</v>
      </c>
      <c r="W29" s="5">
        <f>IF(U29&gt;0,U29/H29,0)</f>
        <v>0.53092185592185592</v>
      </c>
      <c r="X29" s="7">
        <f>IF(U29&lt;0,-U29,0)</f>
        <v>0</v>
      </c>
      <c r="Y29" s="5">
        <f>IF(U29&lt;0,-U29/H29,0)</f>
        <v>0</v>
      </c>
      <c r="Z29" s="2" t="str">
        <f>IF(U29&gt;=0,"Profitable",IF(N29="Cancelled","Order Cancelled",IF(N29="Returned","Order Returned",IF(AND(I29&gt;=0.15,U29&lt;0),"High Discount",IF(S29&gt;H29,"Delivery Cost Exceeded Order Value","Low Order Value / Thin Margin")))))</f>
        <v>Profitable</v>
      </c>
    </row>
    <row r="30" spans="1:26" x14ac:dyDescent="0.3">
      <c r="A30" s="2" t="s">
        <v>147</v>
      </c>
      <c r="B30" s="6">
        <v>46048.863888888904</v>
      </c>
      <c r="C30" s="2" t="s">
        <v>148</v>
      </c>
      <c r="D30" s="2" t="s">
        <v>116</v>
      </c>
      <c r="E30" s="2" t="s">
        <v>3</v>
      </c>
      <c r="F30" s="2" t="s">
        <v>4</v>
      </c>
      <c r="G30" s="2">
        <v>5</v>
      </c>
      <c r="H30" s="3">
        <v>906.88</v>
      </c>
      <c r="I30" s="4">
        <v>0</v>
      </c>
      <c r="J30" s="3">
        <v>59</v>
      </c>
      <c r="K30" s="7">
        <f t="shared" si="0"/>
        <v>0</v>
      </c>
      <c r="L30" s="2" t="s">
        <v>19</v>
      </c>
      <c r="M30" s="2" t="s">
        <v>149</v>
      </c>
      <c r="N30" s="2" t="s">
        <v>15</v>
      </c>
      <c r="O30" s="2"/>
      <c r="P30" s="2"/>
      <c r="Q30" s="2" t="str">
        <f>TEXT(tblOrders[[#This Row],[Order Date]],"mmm-yyyy")</f>
        <v>Jan-2026</v>
      </c>
      <c r="R30" s="3">
        <f>IF(N30="Cancelled",0,H30*INDEX(Assumptions!$C$7:$C$12,MATCH(F30,Assumptions!$B$7:$B$12,0)))</f>
        <v>0</v>
      </c>
      <c r="S30" s="3">
        <f>IF(N30="Cancelled",Assumptions!$C$19,IF(N30="Returned",Assumptions!$C$17+O30*Assumptions!$C$18+Assumptions!$C$20,Assumptions!$C$17+O30*Assumptions!$C$18))</f>
        <v>15</v>
      </c>
      <c r="T30" s="3">
        <f>R30+S30</f>
        <v>15</v>
      </c>
      <c r="U30" s="7">
        <f>K30-T30</f>
        <v>-15</v>
      </c>
      <c r="V30" s="7">
        <f>IF(U30&gt;0,U30,0)</f>
        <v>0</v>
      </c>
      <c r="W30" s="5">
        <f>IF(U30&gt;0,U30/H30,0)</f>
        <v>0</v>
      </c>
      <c r="X30" s="7">
        <f>IF(U30&lt;0,-U30,0)</f>
        <v>15</v>
      </c>
      <c r="Y30" s="5">
        <f>IF(U30&lt;0,-U30/H30,0)</f>
        <v>1.6540225829216656E-2</v>
      </c>
      <c r="Z30" s="2" t="str">
        <f>IF(U30&gt;=0,"Profitable",IF(N30="Cancelled","Order Cancelled",IF(N30="Returned","Order Returned",IF(AND(I30&gt;=0.15,U30&lt;0),"High Discount",IF(S30&gt;H30,"Delivery Cost Exceeded Order Value","Low Order Value / Thin Margin")))))</f>
        <v>Order Cancelled</v>
      </c>
    </row>
    <row r="31" spans="1:26" x14ac:dyDescent="0.3">
      <c r="A31" s="2" t="s">
        <v>150</v>
      </c>
      <c r="B31" s="6">
        <v>46049.557638888902</v>
      </c>
      <c r="C31" s="2" t="s">
        <v>151</v>
      </c>
      <c r="D31" s="2" t="s">
        <v>69</v>
      </c>
      <c r="E31" s="2" t="s">
        <v>3</v>
      </c>
      <c r="F31" s="2" t="s">
        <v>10</v>
      </c>
      <c r="G31" s="2">
        <v>2</v>
      </c>
      <c r="H31" s="3">
        <v>991.04</v>
      </c>
      <c r="I31" s="4">
        <v>0.15</v>
      </c>
      <c r="J31" s="3">
        <v>39</v>
      </c>
      <c r="K31" s="7">
        <f t="shared" si="0"/>
        <v>881.3839999999999</v>
      </c>
      <c r="L31" s="2" t="s">
        <v>14</v>
      </c>
      <c r="M31" s="2" t="s">
        <v>137</v>
      </c>
      <c r="N31" s="2" t="s">
        <v>13</v>
      </c>
      <c r="O31" s="2">
        <v>19</v>
      </c>
      <c r="P31" s="2">
        <v>5</v>
      </c>
      <c r="Q31" s="2" t="str">
        <f>TEXT(tblOrders[[#This Row],[Order Date]],"mmm-yyyy")</f>
        <v>Jan-2026</v>
      </c>
      <c r="R31" s="3">
        <f>IF(N31="Cancelled",0,H31*INDEX(Assumptions!$C$7:$C$12,MATCH(F31,Assumptions!$B$7:$B$12,0)))</f>
        <v>693.72799999999995</v>
      </c>
      <c r="S31" s="3">
        <f>IF(N31="Cancelled",Assumptions!$C$19,IF(N31="Returned",Assumptions!$C$17+O31*Assumptions!$C$18+Assumptions!$C$20,Assumptions!$C$17+O31*Assumptions!$C$18))</f>
        <v>30.7</v>
      </c>
      <c r="T31" s="3">
        <f>R31+S31</f>
        <v>724.428</v>
      </c>
      <c r="U31" s="7">
        <f>K31-T31</f>
        <v>156.9559999999999</v>
      </c>
      <c r="V31" s="7">
        <f>IF(U31&gt;0,U31,0)</f>
        <v>156.9559999999999</v>
      </c>
      <c r="W31" s="5">
        <f>IF(U31&gt;0,U31/H31,0)</f>
        <v>0.15837504036164021</v>
      </c>
      <c r="X31" s="7">
        <f>IF(U31&lt;0,-U31,0)</f>
        <v>0</v>
      </c>
      <c r="Y31" s="5">
        <f>IF(U31&lt;0,-U31/H31,0)</f>
        <v>0</v>
      </c>
      <c r="Z31" s="2" t="str">
        <f>IF(U31&gt;=0,"Profitable",IF(N31="Cancelled","Order Cancelled",IF(N31="Returned","Order Returned",IF(AND(I31&gt;=0.15,U31&lt;0),"High Discount",IF(S31&gt;H31,"Delivery Cost Exceeded Order Value","Low Order Value / Thin Margin")))))</f>
        <v>Profitable</v>
      </c>
    </row>
    <row r="32" spans="1:26" x14ac:dyDescent="0.3">
      <c r="A32" s="2" t="s">
        <v>152</v>
      </c>
      <c r="B32" s="6">
        <v>46050.466666666704</v>
      </c>
      <c r="C32" s="2" t="s">
        <v>153</v>
      </c>
      <c r="D32" s="2" t="s">
        <v>131</v>
      </c>
      <c r="E32" s="2" t="s">
        <v>3</v>
      </c>
      <c r="F32" s="2" t="s">
        <v>4</v>
      </c>
      <c r="G32" s="2">
        <v>4</v>
      </c>
      <c r="H32" s="3">
        <v>342.66</v>
      </c>
      <c r="I32" s="4">
        <v>0.05</v>
      </c>
      <c r="J32" s="3">
        <v>39</v>
      </c>
      <c r="K32" s="7">
        <f t="shared" si="0"/>
        <v>364.52699999999999</v>
      </c>
      <c r="L32" s="2" t="s">
        <v>14</v>
      </c>
      <c r="M32" s="2" t="s">
        <v>113</v>
      </c>
      <c r="N32" s="2" t="s">
        <v>13</v>
      </c>
      <c r="O32" s="2">
        <v>88</v>
      </c>
      <c r="P32" s="2">
        <v>3</v>
      </c>
      <c r="Q32" s="2" t="str">
        <f>TEXT(tblOrders[[#This Row],[Order Date]],"mmm-yyyy")</f>
        <v>Jan-2026</v>
      </c>
      <c r="R32" s="3">
        <f>IF(N32="Cancelled",0,H32*INDEX(Assumptions!$C$7:$C$12,MATCH(F32,Assumptions!$B$7:$B$12,0)))</f>
        <v>267.27480000000003</v>
      </c>
      <c r="S32" s="3">
        <f>IF(N32="Cancelled",Assumptions!$C$19,IF(N32="Returned",Assumptions!$C$17+O32*Assumptions!$C$18+Assumptions!$C$20,Assumptions!$C$17+O32*Assumptions!$C$18))</f>
        <v>51.4</v>
      </c>
      <c r="T32" s="3">
        <f>R32+S32</f>
        <v>318.6748</v>
      </c>
      <c r="U32" s="7">
        <f>K32-T32</f>
        <v>45.852199999999982</v>
      </c>
      <c r="V32" s="7">
        <f>IF(U32&gt;0,U32,0)</f>
        <v>45.852199999999982</v>
      </c>
      <c r="W32" s="5">
        <f>IF(U32&gt;0,U32/H32,0)</f>
        <v>0.1338125255355162</v>
      </c>
      <c r="X32" s="7">
        <f>IF(U32&lt;0,-U32,0)</f>
        <v>0</v>
      </c>
      <c r="Y32" s="5">
        <f>IF(U32&lt;0,-U32/H32,0)</f>
        <v>0</v>
      </c>
      <c r="Z32" s="2" t="str">
        <f>IF(U32&gt;=0,"Profitable",IF(N32="Cancelled","Order Cancelled",IF(N32="Returned","Order Returned",IF(AND(I32&gt;=0.15,U32&lt;0),"High Discount",IF(S32&gt;H32,"Delivery Cost Exceeded Order Value","Low Order Value / Thin Margin")))))</f>
        <v>Profitable</v>
      </c>
    </row>
    <row r="33" spans="1:26" x14ac:dyDescent="0.3">
      <c r="A33" s="2" t="s">
        <v>154</v>
      </c>
      <c r="B33" s="6">
        <v>46051.368750000001</v>
      </c>
      <c r="C33" s="2" t="s">
        <v>155</v>
      </c>
      <c r="D33" s="2" t="s">
        <v>69</v>
      </c>
      <c r="E33" s="2" t="s">
        <v>3</v>
      </c>
      <c r="F33" s="2" t="s">
        <v>9</v>
      </c>
      <c r="G33" s="2">
        <v>1</v>
      </c>
      <c r="H33" s="3">
        <v>292.52999999999997</v>
      </c>
      <c r="I33" s="4">
        <v>0</v>
      </c>
      <c r="J33" s="3">
        <v>29</v>
      </c>
      <c r="K33" s="7">
        <f t="shared" si="0"/>
        <v>321.52999999999997</v>
      </c>
      <c r="L33" s="2" t="s">
        <v>14</v>
      </c>
      <c r="M33" s="2" t="s">
        <v>113</v>
      </c>
      <c r="N33" s="2" t="s">
        <v>13</v>
      </c>
      <c r="O33" s="2">
        <v>24</v>
      </c>
      <c r="P33" s="2">
        <v>3</v>
      </c>
      <c r="Q33" s="2" t="str">
        <f>TEXT(tblOrders[[#This Row],[Order Date]],"mmm-yyyy")</f>
        <v>Jan-2026</v>
      </c>
      <c r="R33" s="3">
        <f>IF(N33="Cancelled",0,H33*INDEX(Assumptions!$C$7:$C$12,MATCH(F33,Assumptions!$B$7:$B$12,0)))</f>
        <v>131.63849999999999</v>
      </c>
      <c r="S33" s="3">
        <f>IF(N33="Cancelled",Assumptions!$C$19,IF(N33="Returned",Assumptions!$C$17+O33*Assumptions!$C$18+Assumptions!$C$20,Assumptions!$C$17+O33*Assumptions!$C$18))</f>
        <v>32.200000000000003</v>
      </c>
      <c r="T33" s="3">
        <f>R33+S33</f>
        <v>163.83850000000001</v>
      </c>
      <c r="U33" s="7">
        <f>K33-T33</f>
        <v>157.69149999999996</v>
      </c>
      <c r="V33" s="7">
        <f>IF(U33&gt;0,U33,0)</f>
        <v>157.69149999999996</v>
      </c>
      <c r="W33" s="5">
        <f>IF(U33&gt;0,U33/H33,0)</f>
        <v>0.53906095101357121</v>
      </c>
      <c r="X33" s="7">
        <f>IF(U33&lt;0,-U33,0)</f>
        <v>0</v>
      </c>
      <c r="Y33" s="5">
        <f>IF(U33&lt;0,-U33/H33,0)</f>
        <v>0</v>
      </c>
      <c r="Z33" s="2" t="str">
        <f>IF(U33&gt;=0,"Profitable",IF(N33="Cancelled","Order Cancelled",IF(N33="Returned","Order Returned",IF(AND(I33&gt;=0.15,U33&lt;0),"High Discount",IF(S33&gt;H33,"Delivery Cost Exceeded Order Value","Low Order Value / Thin Margin")))))</f>
        <v>Profitable</v>
      </c>
    </row>
    <row r="34" spans="1:26" x14ac:dyDescent="0.3">
      <c r="A34" s="2" t="s">
        <v>156</v>
      </c>
      <c r="B34" s="6">
        <v>46051.897916666698</v>
      </c>
      <c r="C34" s="2" t="s">
        <v>157</v>
      </c>
      <c r="D34" s="2" t="s">
        <v>116</v>
      </c>
      <c r="E34" s="2" t="s">
        <v>5</v>
      </c>
      <c r="F34" s="2" t="s">
        <v>10</v>
      </c>
      <c r="G34" s="2">
        <v>3</v>
      </c>
      <c r="H34" s="3">
        <v>1080.44</v>
      </c>
      <c r="I34" s="4">
        <v>0.15</v>
      </c>
      <c r="J34" s="3">
        <v>0</v>
      </c>
      <c r="K34" s="7">
        <f t="shared" si="0"/>
        <v>918.37400000000002</v>
      </c>
      <c r="L34" s="2" t="s">
        <v>19</v>
      </c>
      <c r="M34" s="2" t="s">
        <v>88</v>
      </c>
      <c r="N34" s="2" t="s">
        <v>13</v>
      </c>
      <c r="O34" s="2">
        <v>61</v>
      </c>
      <c r="P34" s="2">
        <v>4</v>
      </c>
      <c r="Q34" s="2" t="str">
        <f>TEXT(tblOrders[[#This Row],[Order Date]],"mmm-yyyy")</f>
        <v>Jan-2026</v>
      </c>
      <c r="R34" s="3">
        <f>IF(N34="Cancelled",0,H34*INDEX(Assumptions!$C$7:$C$12,MATCH(F34,Assumptions!$B$7:$B$12,0)))</f>
        <v>756.30799999999999</v>
      </c>
      <c r="S34" s="3">
        <f>IF(N34="Cancelled",Assumptions!$C$19,IF(N34="Returned",Assumptions!$C$17+O34*Assumptions!$C$18+Assumptions!$C$20,Assumptions!$C$17+O34*Assumptions!$C$18))</f>
        <v>43.3</v>
      </c>
      <c r="T34" s="3">
        <f>R34+S34</f>
        <v>799.60799999999995</v>
      </c>
      <c r="U34" s="7">
        <f>K34-T34</f>
        <v>118.76600000000008</v>
      </c>
      <c r="V34" s="7">
        <f>IF(U34&gt;0,U34,0)</f>
        <v>118.76600000000008</v>
      </c>
      <c r="W34" s="5">
        <f>IF(U34&gt;0,U34/H34,0)</f>
        <v>0.10992373477472148</v>
      </c>
      <c r="X34" s="7">
        <f>IF(U34&lt;0,-U34,0)</f>
        <v>0</v>
      </c>
      <c r="Y34" s="5">
        <f>IF(U34&lt;0,-U34/H34,0)</f>
        <v>0</v>
      </c>
      <c r="Z34" s="2" t="str">
        <f>IF(U34&gt;=0,"Profitable",IF(N34="Cancelled","Order Cancelled",IF(N34="Returned","Order Returned",IF(AND(I34&gt;=0.15,U34&lt;0),"High Discount",IF(S34&gt;H34,"Delivery Cost Exceeded Order Value","Low Order Value / Thin Margin")))))</f>
        <v>Profitable</v>
      </c>
    </row>
    <row r="35" spans="1:26" x14ac:dyDescent="0.3">
      <c r="A35" s="2" t="s">
        <v>158</v>
      </c>
      <c r="B35" s="6">
        <v>46052.529166666704</v>
      </c>
      <c r="C35" s="2" t="s">
        <v>126</v>
      </c>
      <c r="D35" s="2" t="s">
        <v>97</v>
      </c>
      <c r="E35" s="2" t="s">
        <v>3</v>
      </c>
      <c r="F35" s="2" t="s">
        <v>10</v>
      </c>
      <c r="G35" s="2">
        <v>6</v>
      </c>
      <c r="H35" s="3">
        <v>525.03</v>
      </c>
      <c r="I35" s="4">
        <v>0.05</v>
      </c>
      <c r="J35" s="3">
        <v>59</v>
      </c>
      <c r="K35" s="7">
        <f t="shared" si="0"/>
        <v>557.77849999999989</v>
      </c>
      <c r="L35" s="2" t="s">
        <v>14</v>
      </c>
      <c r="M35" s="2" t="s">
        <v>137</v>
      </c>
      <c r="N35" s="2" t="s">
        <v>13</v>
      </c>
      <c r="O35" s="2">
        <v>76</v>
      </c>
      <c r="P35" s="2">
        <v>5</v>
      </c>
      <c r="Q35" s="2" t="str">
        <f>TEXT(tblOrders[[#This Row],[Order Date]],"mmm-yyyy")</f>
        <v>Jan-2026</v>
      </c>
      <c r="R35" s="3">
        <f>IF(N35="Cancelled",0,H35*INDEX(Assumptions!$C$7:$C$12,MATCH(F35,Assumptions!$B$7:$B$12,0)))</f>
        <v>367.52099999999996</v>
      </c>
      <c r="S35" s="3">
        <f>IF(N35="Cancelled",Assumptions!$C$19,IF(N35="Returned",Assumptions!$C$17+O35*Assumptions!$C$18+Assumptions!$C$20,Assumptions!$C$17+O35*Assumptions!$C$18))</f>
        <v>47.8</v>
      </c>
      <c r="T35" s="3">
        <f>R35+S35</f>
        <v>415.32099999999997</v>
      </c>
      <c r="U35" s="7">
        <f>K35-T35</f>
        <v>142.45749999999992</v>
      </c>
      <c r="V35" s="7">
        <f>IF(U35&gt;0,U35,0)</f>
        <v>142.45749999999992</v>
      </c>
      <c r="W35" s="5">
        <f>IF(U35&gt;0,U35/H35,0)</f>
        <v>0.27133211435537002</v>
      </c>
      <c r="X35" s="7">
        <f>IF(U35&lt;0,-U35,0)</f>
        <v>0</v>
      </c>
      <c r="Y35" s="5">
        <f>IF(U35&lt;0,-U35/H35,0)</f>
        <v>0</v>
      </c>
      <c r="Z35" s="2" t="str">
        <f>IF(U35&gt;=0,"Profitable",IF(N35="Cancelled","Order Cancelled",IF(N35="Returned","Order Returned",IF(AND(I35&gt;=0.15,U35&lt;0),"High Discount",IF(S35&gt;H35,"Delivery Cost Exceeded Order Value","Low Order Value / Thin Margin")))))</f>
        <v>Profitable</v>
      </c>
    </row>
    <row r="36" spans="1:26" x14ac:dyDescent="0.3">
      <c r="A36" s="2" t="s">
        <v>159</v>
      </c>
      <c r="B36" s="6">
        <v>46052.676388888904</v>
      </c>
      <c r="C36" s="2" t="s">
        <v>142</v>
      </c>
      <c r="D36" s="2" t="s">
        <v>73</v>
      </c>
      <c r="E36" s="2" t="s">
        <v>5</v>
      </c>
      <c r="F36" s="2" t="s">
        <v>9</v>
      </c>
      <c r="G36" s="2">
        <v>2</v>
      </c>
      <c r="H36" s="3">
        <v>157.13</v>
      </c>
      <c r="I36" s="4">
        <v>0</v>
      </c>
      <c r="J36" s="3">
        <v>49</v>
      </c>
      <c r="K36" s="7">
        <f t="shared" si="0"/>
        <v>206.13</v>
      </c>
      <c r="L36" s="2" t="s">
        <v>18</v>
      </c>
      <c r="M36" s="2" t="s">
        <v>70</v>
      </c>
      <c r="N36" s="2" t="s">
        <v>13</v>
      </c>
      <c r="O36" s="2">
        <v>77</v>
      </c>
      <c r="P36" s="2">
        <v>5</v>
      </c>
      <c r="Q36" s="2" t="str">
        <f>TEXT(tblOrders[[#This Row],[Order Date]],"mmm-yyyy")</f>
        <v>Jan-2026</v>
      </c>
      <c r="R36" s="3">
        <f>IF(N36="Cancelled",0,H36*INDEX(Assumptions!$C$7:$C$12,MATCH(F36,Assumptions!$B$7:$B$12,0)))</f>
        <v>70.708500000000001</v>
      </c>
      <c r="S36" s="3">
        <f>IF(N36="Cancelled",Assumptions!$C$19,IF(N36="Returned",Assumptions!$C$17+O36*Assumptions!$C$18+Assumptions!$C$20,Assumptions!$C$17+O36*Assumptions!$C$18))</f>
        <v>48.099999999999994</v>
      </c>
      <c r="T36" s="3">
        <f>R36+S36</f>
        <v>118.8085</v>
      </c>
      <c r="U36" s="7">
        <f>K36-T36</f>
        <v>87.3215</v>
      </c>
      <c r="V36" s="7">
        <f>IF(U36&gt;0,U36,0)</f>
        <v>87.3215</v>
      </c>
      <c r="W36" s="5">
        <f>IF(U36&gt;0,U36/H36,0)</f>
        <v>0.55572774136065684</v>
      </c>
      <c r="X36" s="7">
        <f>IF(U36&lt;0,-U36,0)</f>
        <v>0</v>
      </c>
      <c r="Y36" s="5">
        <f>IF(U36&lt;0,-U36/H36,0)</f>
        <v>0</v>
      </c>
      <c r="Z36" s="2" t="str">
        <f>IF(U36&gt;=0,"Profitable",IF(N36="Cancelled","Order Cancelled",IF(N36="Returned","Order Returned",IF(AND(I36&gt;=0.15,U36&lt;0),"High Discount",IF(S36&gt;H36,"Delivery Cost Exceeded Order Value","Low Order Value / Thin Margin")))))</f>
        <v>Profitable</v>
      </c>
    </row>
    <row r="37" spans="1:26" x14ac:dyDescent="0.3">
      <c r="A37" s="2" t="s">
        <v>160</v>
      </c>
      <c r="B37" s="6">
        <v>46052.920833333301</v>
      </c>
      <c r="C37" s="2" t="s">
        <v>161</v>
      </c>
      <c r="D37" s="2" t="s">
        <v>97</v>
      </c>
      <c r="E37" s="2" t="s">
        <v>3</v>
      </c>
      <c r="F37" s="2" t="s">
        <v>9</v>
      </c>
      <c r="G37" s="2">
        <v>3</v>
      </c>
      <c r="H37" s="3">
        <v>583.86</v>
      </c>
      <c r="I37" s="4">
        <v>0.15</v>
      </c>
      <c r="J37" s="3">
        <v>49</v>
      </c>
      <c r="K37" s="7">
        <f t="shared" si="0"/>
        <v>545.28099999999995</v>
      </c>
      <c r="L37" s="2" t="s">
        <v>16</v>
      </c>
      <c r="M37" s="2" t="s">
        <v>140</v>
      </c>
      <c r="N37" s="2" t="s">
        <v>13</v>
      </c>
      <c r="O37" s="2">
        <v>51</v>
      </c>
      <c r="P37" s="2">
        <v>5</v>
      </c>
      <c r="Q37" s="2" t="str">
        <f>TEXT(tblOrders[[#This Row],[Order Date]],"mmm-yyyy")</f>
        <v>Jan-2026</v>
      </c>
      <c r="R37" s="3">
        <f>IF(N37="Cancelled",0,H37*INDEX(Assumptions!$C$7:$C$12,MATCH(F37,Assumptions!$B$7:$B$12,0)))</f>
        <v>262.73700000000002</v>
      </c>
      <c r="S37" s="3">
        <f>IF(N37="Cancelled",Assumptions!$C$19,IF(N37="Returned",Assumptions!$C$17+O37*Assumptions!$C$18+Assumptions!$C$20,Assumptions!$C$17+O37*Assumptions!$C$18))</f>
        <v>40.299999999999997</v>
      </c>
      <c r="T37" s="3">
        <f>R37+S37</f>
        <v>303.03700000000003</v>
      </c>
      <c r="U37" s="7">
        <f>K37-T37</f>
        <v>242.24399999999991</v>
      </c>
      <c r="V37" s="7">
        <f>IF(U37&gt;0,U37,0)</f>
        <v>242.24399999999991</v>
      </c>
      <c r="W37" s="5">
        <f>IF(U37&gt;0,U37/H37,0)</f>
        <v>0.41490083239132652</v>
      </c>
      <c r="X37" s="7">
        <f>IF(U37&lt;0,-U37,0)</f>
        <v>0</v>
      </c>
      <c r="Y37" s="5">
        <f>IF(U37&lt;0,-U37/H37,0)</f>
        <v>0</v>
      </c>
      <c r="Z37" s="2" t="str">
        <f>IF(U37&gt;=0,"Profitable",IF(N37="Cancelled","Order Cancelled",IF(N37="Returned","Order Returned",IF(AND(I37&gt;=0.15,U37&lt;0),"High Discount",IF(S37&gt;H37,"Delivery Cost Exceeded Order Value","Low Order Value / Thin Margin")))))</f>
        <v>Profitable</v>
      </c>
    </row>
    <row r="38" spans="1:26" x14ac:dyDescent="0.3">
      <c r="A38" s="2" t="s">
        <v>162</v>
      </c>
      <c r="B38" s="6">
        <v>46053.381944444503</v>
      </c>
      <c r="C38" s="2" t="s">
        <v>163</v>
      </c>
      <c r="D38" s="2" t="s">
        <v>87</v>
      </c>
      <c r="E38" s="2" t="s">
        <v>3</v>
      </c>
      <c r="F38" s="2" t="s">
        <v>10</v>
      </c>
      <c r="G38" s="2">
        <v>6</v>
      </c>
      <c r="H38" s="3">
        <v>1069.57</v>
      </c>
      <c r="I38" s="4">
        <v>0</v>
      </c>
      <c r="J38" s="3">
        <v>0</v>
      </c>
      <c r="K38" s="7">
        <f t="shared" si="0"/>
        <v>1069.57</v>
      </c>
      <c r="L38" s="2" t="s">
        <v>16</v>
      </c>
      <c r="M38" s="2" t="s">
        <v>164</v>
      </c>
      <c r="N38" s="2" t="s">
        <v>13</v>
      </c>
      <c r="O38" s="2">
        <v>59</v>
      </c>
      <c r="P38" s="2">
        <v>3</v>
      </c>
      <c r="Q38" s="2" t="str">
        <f>TEXT(tblOrders[[#This Row],[Order Date]],"mmm-yyyy")</f>
        <v>Jan-2026</v>
      </c>
      <c r="R38" s="3">
        <f>IF(N38="Cancelled",0,H38*INDEX(Assumptions!$C$7:$C$12,MATCH(F38,Assumptions!$B$7:$B$12,0)))</f>
        <v>748.69899999999996</v>
      </c>
      <c r="S38" s="3">
        <f>IF(N38="Cancelled",Assumptions!$C$19,IF(N38="Returned",Assumptions!$C$17+O38*Assumptions!$C$18+Assumptions!$C$20,Assumptions!$C$17+O38*Assumptions!$C$18))</f>
        <v>42.7</v>
      </c>
      <c r="T38" s="3">
        <f>R38+S38</f>
        <v>791.399</v>
      </c>
      <c r="U38" s="7">
        <f>K38-T38</f>
        <v>278.17099999999994</v>
      </c>
      <c r="V38" s="7">
        <f>IF(U38&gt;0,U38,0)</f>
        <v>278.17099999999994</v>
      </c>
      <c r="W38" s="5">
        <f>IF(U38&gt;0,U38/H38,0)</f>
        <v>0.26007741428798486</v>
      </c>
      <c r="X38" s="7">
        <f>IF(U38&lt;0,-U38,0)</f>
        <v>0</v>
      </c>
      <c r="Y38" s="5">
        <f>IF(U38&lt;0,-U38/H38,0)</f>
        <v>0</v>
      </c>
      <c r="Z38" s="2" t="str">
        <f>IF(U38&gt;=0,"Profitable",IF(N38="Cancelled","Order Cancelled",IF(N38="Returned","Order Returned",IF(AND(I38&gt;=0.15,U38&lt;0),"High Discount",IF(S38&gt;H38,"Delivery Cost Exceeded Order Value","Low Order Value / Thin Margin")))))</f>
        <v>Profitable</v>
      </c>
    </row>
    <row r="39" spans="1:26" x14ac:dyDescent="0.3">
      <c r="A39" s="2" t="s">
        <v>165</v>
      </c>
      <c r="B39" s="6">
        <v>46053.6965277778</v>
      </c>
      <c r="C39" s="2" t="s">
        <v>166</v>
      </c>
      <c r="D39" s="2" t="s">
        <v>87</v>
      </c>
      <c r="E39" s="2" t="s">
        <v>3</v>
      </c>
      <c r="F39" s="2" t="s">
        <v>11</v>
      </c>
      <c r="G39" s="2">
        <v>5</v>
      </c>
      <c r="H39" s="3">
        <v>5892.2</v>
      </c>
      <c r="I39" s="4">
        <v>0.05</v>
      </c>
      <c r="J39" s="3">
        <v>0</v>
      </c>
      <c r="K39" s="7">
        <f t="shared" si="0"/>
        <v>0</v>
      </c>
      <c r="L39" s="2" t="s">
        <v>14</v>
      </c>
      <c r="M39" s="2" t="s">
        <v>70</v>
      </c>
      <c r="N39" s="2" t="s">
        <v>15</v>
      </c>
      <c r="O39" s="2"/>
      <c r="P39" s="2"/>
      <c r="Q39" s="2" t="str">
        <f>TEXT(tblOrders[[#This Row],[Order Date]],"mmm-yyyy")</f>
        <v>Jan-2026</v>
      </c>
      <c r="R39" s="3">
        <f>IF(N39="Cancelled",0,H39*INDEX(Assumptions!$C$7:$C$12,MATCH(F39,Assumptions!$B$7:$B$12,0)))</f>
        <v>0</v>
      </c>
      <c r="S39" s="3">
        <f>IF(N39="Cancelled",Assumptions!$C$19,IF(N39="Returned",Assumptions!$C$17+O39*Assumptions!$C$18+Assumptions!$C$20,Assumptions!$C$17+O39*Assumptions!$C$18))</f>
        <v>15</v>
      </c>
      <c r="T39" s="3">
        <f>R39+S39</f>
        <v>15</v>
      </c>
      <c r="U39" s="7">
        <f>K39-T39</f>
        <v>-15</v>
      </c>
      <c r="V39" s="7">
        <f>IF(U39&gt;0,U39,0)</f>
        <v>0</v>
      </c>
      <c r="W39" s="5">
        <f>IF(U39&gt;0,U39/H39,0)</f>
        <v>0</v>
      </c>
      <c r="X39" s="7">
        <f>IF(U39&lt;0,-U39,0)</f>
        <v>15</v>
      </c>
      <c r="Y39" s="5">
        <f>IF(U39&lt;0,-U39/H39,0)</f>
        <v>2.5457384338617157E-3</v>
      </c>
      <c r="Z39" s="2" t="str">
        <f>IF(U39&gt;=0,"Profitable",IF(N39="Cancelled","Order Cancelled",IF(N39="Returned","Order Returned",IF(AND(I39&gt;=0.15,U39&lt;0),"High Discount",IF(S39&gt;H39,"Delivery Cost Exceeded Order Value","Low Order Value / Thin Margin")))))</f>
        <v>Order Cancelled</v>
      </c>
    </row>
    <row r="40" spans="1:26" x14ac:dyDescent="0.3">
      <c r="A40" s="2" t="s">
        <v>167</v>
      </c>
      <c r="B40" s="6">
        <v>46055.392361111102</v>
      </c>
      <c r="C40" s="2" t="s">
        <v>168</v>
      </c>
      <c r="D40" s="2" t="s">
        <v>131</v>
      </c>
      <c r="E40" s="2" t="s">
        <v>5</v>
      </c>
      <c r="F40" s="2" t="s">
        <v>6</v>
      </c>
      <c r="G40" s="2">
        <v>5</v>
      </c>
      <c r="H40" s="3">
        <v>14133.07</v>
      </c>
      <c r="I40" s="4">
        <v>0.2</v>
      </c>
      <c r="J40" s="3">
        <v>0</v>
      </c>
      <c r="K40" s="7">
        <f t="shared" si="0"/>
        <v>11306.456</v>
      </c>
      <c r="L40" s="2" t="s">
        <v>16</v>
      </c>
      <c r="M40" s="2" t="s">
        <v>91</v>
      </c>
      <c r="N40" s="2" t="s">
        <v>13</v>
      </c>
      <c r="O40" s="2">
        <v>83</v>
      </c>
      <c r="P40" s="2">
        <v>4</v>
      </c>
      <c r="Q40" s="2" t="str">
        <f>TEXT(tblOrders[[#This Row],[Order Date]],"mmm-yyyy")</f>
        <v>Feb-2026</v>
      </c>
      <c r="R40" s="3">
        <f>IF(N40="Cancelled",0,H40*INDEX(Assumptions!$C$7:$C$12,MATCH(F40,Assumptions!$B$7:$B$12,0)))</f>
        <v>12437.1016</v>
      </c>
      <c r="S40" s="3">
        <f>IF(N40="Cancelled",Assumptions!$C$19,IF(N40="Returned",Assumptions!$C$17+O40*Assumptions!$C$18+Assumptions!$C$20,Assumptions!$C$17+O40*Assumptions!$C$18))</f>
        <v>49.9</v>
      </c>
      <c r="T40" s="3">
        <f>R40+S40</f>
        <v>12487.0016</v>
      </c>
      <c r="U40" s="7">
        <f>K40-T40</f>
        <v>-1180.5455999999995</v>
      </c>
      <c r="V40" s="7">
        <f>IF(U40&gt;0,U40,0)</f>
        <v>0</v>
      </c>
      <c r="W40" s="5">
        <f>IF(U40&gt;0,U40/H40,0)</f>
        <v>0</v>
      </c>
      <c r="X40" s="7">
        <f>IF(U40&lt;0,-U40,0)</f>
        <v>1180.5455999999995</v>
      </c>
      <c r="Y40" s="5">
        <f>IF(U40&lt;0,-U40/H40,0)</f>
        <v>8.353072616211478E-2</v>
      </c>
      <c r="Z40" s="2" t="str">
        <f>IF(U40&gt;=0,"Profitable",IF(N40="Cancelled","Order Cancelled",IF(N40="Returned","Order Returned",IF(AND(I40&gt;=0.15,U40&lt;0),"High Discount",IF(S40&gt;H40,"Delivery Cost Exceeded Order Value","Low Order Value / Thin Margin")))))</f>
        <v>High Discount</v>
      </c>
    </row>
    <row r="41" spans="1:26" x14ac:dyDescent="0.3">
      <c r="A41" s="2" t="s">
        <v>169</v>
      </c>
      <c r="B41" s="6">
        <v>46056.494444444397</v>
      </c>
      <c r="C41" s="2" t="s">
        <v>170</v>
      </c>
      <c r="D41" s="2" t="s">
        <v>97</v>
      </c>
      <c r="E41" s="2" t="s">
        <v>5</v>
      </c>
      <c r="F41" s="2" t="s">
        <v>8</v>
      </c>
      <c r="G41" s="2">
        <v>6</v>
      </c>
      <c r="H41" s="3">
        <v>610.95000000000005</v>
      </c>
      <c r="I41" s="4">
        <v>0.1</v>
      </c>
      <c r="J41" s="3">
        <v>49</v>
      </c>
      <c r="K41" s="7">
        <f t="shared" si="0"/>
        <v>598.85500000000002</v>
      </c>
      <c r="L41" s="2" t="s">
        <v>14</v>
      </c>
      <c r="M41" s="2" t="s">
        <v>107</v>
      </c>
      <c r="N41" s="2" t="s">
        <v>13</v>
      </c>
      <c r="O41" s="2">
        <v>26</v>
      </c>
      <c r="P41" s="2">
        <v>3</v>
      </c>
      <c r="Q41" s="2" t="str">
        <f>TEXT(tblOrders[[#This Row],[Order Date]],"mmm-yyyy")</f>
        <v>Feb-2026</v>
      </c>
      <c r="R41" s="3">
        <f>IF(N41="Cancelled",0,H41*INDEX(Assumptions!$C$7:$C$12,MATCH(F41,Assumptions!$B$7:$B$12,0)))</f>
        <v>336.02250000000004</v>
      </c>
      <c r="S41" s="3">
        <f>IF(N41="Cancelled",Assumptions!$C$19,IF(N41="Returned",Assumptions!$C$17+O41*Assumptions!$C$18+Assumptions!$C$20,Assumptions!$C$17+O41*Assumptions!$C$18))</f>
        <v>32.799999999999997</v>
      </c>
      <c r="T41" s="3">
        <f>R41+S41</f>
        <v>368.82250000000005</v>
      </c>
      <c r="U41" s="7">
        <f>K41-T41</f>
        <v>230.03249999999997</v>
      </c>
      <c r="V41" s="7">
        <f>IF(U41&gt;0,U41,0)</f>
        <v>230.03249999999997</v>
      </c>
      <c r="W41" s="5">
        <f>IF(U41&gt;0,U41/H41,0)</f>
        <v>0.37651608151239863</v>
      </c>
      <c r="X41" s="7">
        <f>IF(U41&lt;0,-U41,0)</f>
        <v>0</v>
      </c>
      <c r="Y41" s="5">
        <f>IF(U41&lt;0,-U41/H41,0)</f>
        <v>0</v>
      </c>
      <c r="Z41" s="2" t="str">
        <f>IF(U41&gt;=0,"Profitable",IF(N41="Cancelled","Order Cancelled",IF(N41="Returned","Order Returned",IF(AND(I41&gt;=0.15,U41&lt;0),"High Discount",IF(S41&gt;H41,"Delivery Cost Exceeded Order Value","Low Order Value / Thin Margin")))))</f>
        <v>Profitable</v>
      </c>
    </row>
    <row r="42" spans="1:26" x14ac:dyDescent="0.3">
      <c r="A42" s="2" t="s">
        <v>171</v>
      </c>
      <c r="B42" s="6">
        <v>46056.849305555603</v>
      </c>
      <c r="C42" s="2" t="s">
        <v>172</v>
      </c>
      <c r="D42" s="2" t="s">
        <v>116</v>
      </c>
      <c r="E42" s="2" t="s">
        <v>3</v>
      </c>
      <c r="F42" s="2" t="s">
        <v>8</v>
      </c>
      <c r="G42" s="2">
        <v>2</v>
      </c>
      <c r="H42" s="3">
        <v>2025.95</v>
      </c>
      <c r="I42" s="4">
        <v>0</v>
      </c>
      <c r="J42" s="3">
        <v>0</v>
      </c>
      <c r="K42" s="7">
        <f t="shared" si="0"/>
        <v>2025.95</v>
      </c>
      <c r="L42" s="2" t="s">
        <v>19</v>
      </c>
      <c r="M42" s="2" t="s">
        <v>70</v>
      </c>
      <c r="N42" s="2" t="s">
        <v>13</v>
      </c>
      <c r="O42" s="2">
        <v>30</v>
      </c>
      <c r="P42" s="2">
        <v>3</v>
      </c>
      <c r="Q42" s="2" t="str">
        <f>TEXT(tblOrders[[#This Row],[Order Date]],"mmm-yyyy")</f>
        <v>Feb-2026</v>
      </c>
      <c r="R42" s="3">
        <f>IF(N42="Cancelled",0,H42*INDEX(Assumptions!$C$7:$C$12,MATCH(F42,Assumptions!$B$7:$B$12,0)))</f>
        <v>1114.2725</v>
      </c>
      <c r="S42" s="3">
        <f>IF(N42="Cancelled",Assumptions!$C$19,IF(N42="Returned",Assumptions!$C$17+O42*Assumptions!$C$18+Assumptions!$C$20,Assumptions!$C$17+O42*Assumptions!$C$18))</f>
        <v>34</v>
      </c>
      <c r="T42" s="3">
        <f>R42+S42</f>
        <v>1148.2725</v>
      </c>
      <c r="U42" s="7">
        <f>K42-T42</f>
        <v>877.67750000000001</v>
      </c>
      <c r="V42" s="7">
        <f>IF(U42&gt;0,U42,0)</f>
        <v>877.67750000000001</v>
      </c>
      <c r="W42" s="5">
        <f>IF(U42&gt;0,U42/H42,0)</f>
        <v>0.43321774969767268</v>
      </c>
      <c r="X42" s="7">
        <f>IF(U42&lt;0,-U42,0)</f>
        <v>0</v>
      </c>
      <c r="Y42" s="5">
        <f>IF(U42&lt;0,-U42/H42,0)</f>
        <v>0</v>
      </c>
      <c r="Z42" s="2" t="str">
        <f>IF(U42&gt;=0,"Profitable",IF(N42="Cancelled","Order Cancelled",IF(N42="Returned","Order Returned",IF(AND(I42&gt;=0.15,U42&lt;0),"High Discount",IF(S42&gt;H42,"Delivery Cost Exceeded Order Value","Low Order Value / Thin Margin")))))</f>
        <v>Profitable</v>
      </c>
    </row>
    <row r="43" spans="1:26" x14ac:dyDescent="0.3">
      <c r="A43" s="2" t="s">
        <v>173</v>
      </c>
      <c r="B43" s="6">
        <v>46057.868055555598</v>
      </c>
      <c r="C43" s="2" t="s">
        <v>174</v>
      </c>
      <c r="D43" s="2" t="s">
        <v>73</v>
      </c>
      <c r="E43" s="2" t="s">
        <v>3</v>
      </c>
      <c r="F43" s="2" t="s">
        <v>8</v>
      </c>
      <c r="G43" s="2">
        <v>3</v>
      </c>
      <c r="H43" s="3">
        <v>3508.08</v>
      </c>
      <c r="I43" s="4">
        <v>0</v>
      </c>
      <c r="J43" s="3">
        <v>0</v>
      </c>
      <c r="K43" s="7">
        <f t="shared" si="0"/>
        <v>3508.08</v>
      </c>
      <c r="L43" s="2" t="s">
        <v>16</v>
      </c>
      <c r="M43" s="2" t="s">
        <v>175</v>
      </c>
      <c r="N43" s="2" t="s">
        <v>13</v>
      </c>
      <c r="O43" s="2">
        <v>59</v>
      </c>
      <c r="P43" s="2">
        <v>3</v>
      </c>
      <c r="Q43" s="2" t="str">
        <f>TEXT(tblOrders[[#This Row],[Order Date]],"mmm-yyyy")</f>
        <v>Feb-2026</v>
      </c>
      <c r="R43" s="3">
        <f>IF(N43="Cancelled",0,H43*INDEX(Assumptions!$C$7:$C$12,MATCH(F43,Assumptions!$B$7:$B$12,0)))</f>
        <v>1929.4440000000002</v>
      </c>
      <c r="S43" s="3">
        <f>IF(N43="Cancelled",Assumptions!$C$19,IF(N43="Returned",Assumptions!$C$17+O43*Assumptions!$C$18+Assumptions!$C$20,Assumptions!$C$17+O43*Assumptions!$C$18))</f>
        <v>42.7</v>
      </c>
      <c r="T43" s="3">
        <f>R43+S43</f>
        <v>1972.1440000000002</v>
      </c>
      <c r="U43" s="7">
        <f>K43-T43</f>
        <v>1535.9359999999997</v>
      </c>
      <c r="V43" s="7">
        <f>IF(U43&gt;0,U43,0)</f>
        <v>1535.9359999999997</v>
      </c>
      <c r="W43" s="5">
        <f>IF(U43&gt;0,U43/H43,0)</f>
        <v>0.43782809970126102</v>
      </c>
      <c r="X43" s="7">
        <f>IF(U43&lt;0,-U43,0)</f>
        <v>0</v>
      </c>
      <c r="Y43" s="5">
        <f>IF(U43&lt;0,-U43/H43,0)</f>
        <v>0</v>
      </c>
      <c r="Z43" s="2" t="str">
        <f>IF(U43&gt;=0,"Profitable",IF(N43="Cancelled","Order Cancelled",IF(N43="Returned","Order Returned",IF(AND(I43&gt;=0.15,U43&lt;0),"High Discount",IF(S43&gt;H43,"Delivery Cost Exceeded Order Value","Low Order Value / Thin Margin")))))</f>
        <v>Profitable</v>
      </c>
    </row>
    <row r="44" spans="1:26" x14ac:dyDescent="0.3">
      <c r="A44" s="2" t="s">
        <v>176</v>
      </c>
      <c r="B44" s="6">
        <v>46057.8972222222</v>
      </c>
      <c r="C44" s="2" t="s">
        <v>177</v>
      </c>
      <c r="D44" s="2" t="s">
        <v>69</v>
      </c>
      <c r="E44" s="2" t="s">
        <v>3</v>
      </c>
      <c r="F44" s="2" t="s">
        <v>8</v>
      </c>
      <c r="G44" s="2">
        <v>1</v>
      </c>
      <c r="H44" s="3">
        <v>1523.53</v>
      </c>
      <c r="I44" s="4">
        <v>0.15</v>
      </c>
      <c r="J44" s="3">
        <v>0</v>
      </c>
      <c r="K44" s="7">
        <f t="shared" si="0"/>
        <v>1295.0004999999999</v>
      </c>
      <c r="L44" s="2" t="s">
        <v>19</v>
      </c>
      <c r="M44" s="2" t="s">
        <v>88</v>
      </c>
      <c r="N44" s="2" t="s">
        <v>13</v>
      </c>
      <c r="O44" s="2">
        <v>41</v>
      </c>
      <c r="P44" s="2">
        <v>3</v>
      </c>
      <c r="Q44" s="2" t="str">
        <f>TEXT(tblOrders[[#This Row],[Order Date]],"mmm-yyyy")</f>
        <v>Feb-2026</v>
      </c>
      <c r="R44" s="3">
        <f>IF(N44="Cancelled",0,H44*INDEX(Assumptions!$C$7:$C$12,MATCH(F44,Assumptions!$B$7:$B$12,0)))</f>
        <v>837.94150000000002</v>
      </c>
      <c r="S44" s="3">
        <f>IF(N44="Cancelled",Assumptions!$C$19,IF(N44="Returned",Assumptions!$C$17+O44*Assumptions!$C$18+Assumptions!$C$20,Assumptions!$C$17+O44*Assumptions!$C$18))</f>
        <v>37.299999999999997</v>
      </c>
      <c r="T44" s="3">
        <f>R44+S44</f>
        <v>875.24149999999997</v>
      </c>
      <c r="U44" s="7">
        <f>K44-T44</f>
        <v>419.7589999999999</v>
      </c>
      <c r="V44" s="7">
        <f>IF(U44&gt;0,U44,0)</f>
        <v>419.7589999999999</v>
      </c>
      <c r="W44" s="5">
        <f>IF(U44&gt;0,U44/H44,0)</f>
        <v>0.27551738397012193</v>
      </c>
      <c r="X44" s="7">
        <f>IF(U44&lt;0,-U44,0)</f>
        <v>0</v>
      </c>
      <c r="Y44" s="5">
        <f>IF(U44&lt;0,-U44/H44,0)</f>
        <v>0</v>
      </c>
      <c r="Z44" s="2" t="str">
        <f>IF(U44&gt;=0,"Profitable",IF(N44="Cancelled","Order Cancelled",IF(N44="Returned","Order Returned",IF(AND(I44&gt;=0.15,U44&lt;0),"High Discount",IF(S44&gt;H44,"Delivery Cost Exceeded Order Value","Low Order Value / Thin Margin")))))</f>
        <v>Profitable</v>
      </c>
    </row>
    <row r="45" spans="1:26" x14ac:dyDescent="0.3">
      <c r="A45" s="2" t="s">
        <v>178</v>
      </c>
      <c r="B45" s="6">
        <v>46058.470138888901</v>
      </c>
      <c r="C45" s="2" t="s">
        <v>179</v>
      </c>
      <c r="D45" s="2" t="s">
        <v>69</v>
      </c>
      <c r="E45" s="2" t="s">
        <v>3</v>
      </c>
      <c r="F45" s="2" t="s">
        <v>9</v>
      </c>
      <c r="G45" s="2">
        <v>5</v>
      </c>
      <c r="H45" s="3">
        <v>580.01</v>
      </c>
      <c r="I45" s="4">
        <v>0.1</v>
      </c>
      <c r="J45" s="3">
        <v>49</v>
      </c>
      <c r="K45" s="7">
        <f t="shared" si="0"/>
        <v>571.00900000000001</v>
      </c>
      <c r="L45" s="2" t="s">
        <v>14</v>
      </c>
      <c r="M45" s="2" t="s">
        <v>91</v>
      </c>
      <c r="N45" s="2" t="s">
        <v>13</v>
      </c>
      <c r="O45" s="2">
        <v>56</v>
      </c>
      <c r="P45" s="2">
        <v>3</v>
      </c>
      <c r="Q45" s="2" t="str">
        <f>TEXT(tblOrders[[#This Row],[Order Date]],"mmm-yyyy")</f>
        <v>Feb-2026</v>
      </c>
      <c r="R45" s="3">
        <f>IF(N45="Cancelled",0,H45*INDEX(Assumptions!$C$7:$C$12,MATCH(F45,Assumptions!$B$7:$B$12,0)))</f>
        <v>261.00450000000001</v>
      </c>
      <c r="S45" s="3">
        <f>IF(N45="Cancelled",Assumptions!$C$19,IF(N45="Returned",Assumptions!$C$17+O45*Assumptions!$C$18+Assumptions!$C$20,Assumptions!$C$17+O45*Assumptions!$C$18))</f>
        <v>41.8</v>
      </c>
      <c r="T45" s="3">
        <f>R45+S45</f>
        <v>302.80450000000002</v>
      </c>
      <c r="U45" s="7">
        <f>K45-T45</f>
        <v>268.2045</v>
      </c>
      <c r="V45" s="7">
        <f>IF(U45&gt;0,U45,0)</f>
        <v>268.2045</v>
      </c>
      <c r="W45" s="5">
        <f>IF(U45&gt;0,U45/H45,0)</f>
        <v>0.46241357907622282</v>
      </c>
      <c r="X45" s="7">
        <f>IF(U45&lt;0,-U45,0)</f>
        <v>0</v>
      </c>
      <c r="Y45" s="5">
        <f>IF(U45&lt;0,-U45/H45,0)</f>
        <v>0</v>
      </c>
      <c r="Z45" s="2" t="str">
        <f>IF(U45&gt;=0,"Profitable",IF(N45="Cancelled","Order Cancelled",IF(N45="Returned","Order Returned",IF(AND(I45&gt;=0.15,U45&lt;0),"High Discount",IF(S45&gt;H45,"Delivery Cost Exceeded Order Value","Low Order Value / Thin Margin")))))</f>
        <v>Profitable</v>
      </c>
    </row>
    <row r="46" spans="1:26" x14ac:dyDescent="0.3">
      <c r="A46" s="2" t="s">
        <v>180</v>
      </c>
      <c r="B46" s="6">
        <v>46058.591666666704</v>
      </c>
      <c r="C46" s="2" t="s">
        <v>181</v>
      </c>
      <c r="D46" s="2" t="s">
        <v>87</v>
      </c>
      <c r="E46" s="2" t="s">
        <v>5</v>
      </c>
      <c r="F46" s="2" t="s">
        <v>9</v>
      </c>
      <c r="G46" s="2">
        <v>2</v>
      </c>
      <c r="H46" s="3">
        <v>604.6</v>
      </c>
      <c r="I46" s="4">
        <v>0.2</v>
      </c>
      <c r="J46" s="3">
        <v>29</v>
      </c>
      <c r="K46" s="7">
        <f t="shared" si="0"/>
        <v>512.68000000000006</v>
      </c>
      <c r="L46" s="2" t="s">
        <v>19</v>
      </c>
      <c r="M46" s="2" t="s">
        <v>82</v>
      </c>
      <c r="N46" s="2" t="s">
        <v>13</v>
      </c>
      <c r="O46" s="2">
        <v>63</v>
      </c>
      <c r="P46" s="2">
        <v>4</v>
      </c>
      <c r="Q46" s="2" t="str">
        <f>TEXT(tblOrders[[#This Row],[Order Date]],"mmm-yyyy")</f>
        <v>Feb-2026</v>
      </c>
      <c r="R46" s="3">
        <f>IF(N46="Cancelled",0,H46*INDEX(Assumptions!$C$7:$C$12,MATCH(F46,Assumptions!$B$7:$B$12,0)))</f>
        <v>272.07</v>
      </c>
      <c r="S46" s="3">
        <f>IF(N46="Cancelled",Assumptions!$C$19,IF(N46="Returned",Assumptions!$C$17+O46*Assumptions!$C$18+Assumptions!$C$20,Assumptions!$C$17+O46*Assumptions!$C$18))</f>
        <v>43.9</v>
      </c>
      <c r="T46" s="3">
        <f>R46+S46</f>
        <v>315.96999999999997</v>
      </c>
      <c r="U46" s="7">
        <f>K46-T46</f>
        <v>196.71000000000009</v>
      </c>
      <c r="V46" s="7">
        <f>IF(U46&gt;0,U46,0)</f>
        <v>196.71000000000009</v>
      </c>
      <c r="W46" s="5">
        <f>IF(U46&gt;0,U46/H46,0)</f>
        <v>0.32535560701290123</v>
      </c>
      <c r="X46" s="7">
        <f>IF(U46&lt;0,-U46,0)</f>
        <v>0</v>
      </c>
      <c r="Y46" s="5">
        <f>IF(U46&lt;0,-U46/H46,0)</f>
        <v>0</v>
      </c>
      <c r="Z46" s="2" t="str">
        <f>IF(U46&gt;=0,"Profitable",IF(N46="Cancelled","Order Cancelled",IF(N46="Returned","Order Returned",IF(AND(I46&gt;=0.15,U46&lt;0),"High Discount",IF(S46&gt;H46,"Delivery Cost Exceeded Order Value","Low Order Value / Thin Margin")))))</f>
        <v>Profitable</v>
      </c>
    </row>
    <row r="47" spans="1:26" x14ac:dyDescent="0.3">
      <c r="A47" s="2" t="s">
        <v>182</v>
      </c>
      <c r="B47" s="6">
        <v>46058.806250000001</v>
      </c>
      <c r="C47" s="2" t="s">
        <v>183</v>
      </c>
      <c r="D47" s="2" t="s">
        <v>73</v>
      </c>
      <c r="E47" s="2" t="s">
        <v>3</v>
      </c>
      <c r="F47" s="2" t="s">
        <v>10</v>
      </c>
      <c r="G47" s="2">
        <v>2</v>
      </c>
      <c r="H47" s="3">
        <v>940.89</v>
      </c>
      <c r="I47" s="4">
        <v>0.1</v>
      </c>
      <c r="J47" s="3">
        <v>39</v>
      </c>
      <c r="K47" s="7">
        <f t="shared" si="0"/>
        <v>0</v>
      </c>
      <c r="L47" s="2" t="s">
        <v>18</v>
      </c>
      <c r="M47" s="2" t="s">
        <v>88</v>
      </c>
      <c r="N47" s="2" t="s">
        <v>15</v>
      </c>
      <c r="O47" s="2"/>
      <c r="P47" s="2"/>
      <c r="Q47" s="2" t="str">
        <f>TEXT(tblOrders[[#This Row],[Order Date]],"mmm-yyyy")</f>
        <v>Feb-2026</v>
      </c>
      <c r="R47" s="3">
        <f>IF(N47="Cancelled",0,H47*INDEX(Assumptions!$C$7:$C$12,MATCH(F47,Assumptions!$B$7:$B$12,0)))</f>
        <v>0</v>
      </c>
      <c r="S47" s="3">
        <f>IF(N47="Cancelled",Assumptions!$C$19,IF(N47="Returned",Assumptions!$C$17+O47*Assumptions!$C$18+Assumptions!$C$20,Assumptions!$C$17+O47*Assumptions!$C$18))</f>
        <v>15</v>
      </c>
      <c r="T47" s="3">
        <f>R47+S47</f>
        <v>15</v>
      </c>
      <c r="U47" s="7">
        <f>K47-T47</f>
        <v>-15</v>
      </c>
      <c r="V47" s="7">
        <f>IF(U47&gt;0,U47,0)</f>
        <v>0</v>
      </c>
      <c r="W47" s="5">
        <f>IF(U47&gt;0,U47/H47,0)</f>
        <v>0</v>
      </c>
      <c r="X47" s="7">
        <f>IF(U47&lt;0,-U47,0)</f>
        <v>15</v>
      </c>
      <c r="Y47" s="5">
        <f>IF(U47&lt;0,-U47/H47,0)</f>
        <v>1.5942352453528041E-2</v>
      </c>
      <c r="Z47" s="2" t="str">
        <f>IF(U47&gt;=0,"Profitable",IF(N47="Cancelled","Order Cancelled",IF(N47="Returned","Order Returned",IF(AND(I47&gt;=0.15,U47&lt;0),"High Discount",IF(S47&gt;H47,"Delivery Cost Exceeded Order Value","Low Order Value / Thin Margin")))))</f>
        <v>Order Cancelled</v>
      </c>
    </row>
    <row r="48" spans="1:26" x14ac:dyDescent="0.3">
      <c r="A48" s="2" t="s">
        <v>184</v>
      </c>
      <c r="B48" s="6">
        <v>46058.844444444498</v>
      </c>
      <c r="C48" s="2" t="s">
        <v>185</v>
      </c>
      <c r="D48" s="2" t="s">
        <v>97</v>
      </c>
      <c r="E48" s="2" t="s">
        <v>3</v>
      </c>
      <c r="F48" s="2" t="s">
        <v>6</v>
      </c>
      <c r="G48" s="2">
        <v>4</v>
      </c>
      <c r="H48" s="3">
        <v>11407.6</v>
      </c>
      <c r="I48" s="4">
        <v>0</v>
      </c>
      <c r="J48" s="3">
        <v>0</v>
      </c>
      <c r="K48" s="7">
        <f t="shared" si="0"/>
        <v>11407.6</v>
      </c>
      <c r="L48" s="2" t="s">
        <v>16</v>
      </c>
      <c r="M48" s="2" t="s">
        <v>82</v>
      </c>
      <c r="N48" s="2" t="s">
        <v>13</v>
      </c>
      <c r="O48" s="2">
        <v>47</v>
      </c>
      <c r="P48" s="2">
        <v>5</v>
      </c>
      <c r="Q48" s="2" t="str">
        <f>TEXT(tblOrders[[#This Row],[Order Date]],"mmm-yyyy")</f>
        <v>Feb-2026</v>
      </c>
      <c r="R48" s="3">
        <f>IF(N48="Cancelled",0,H48*INDEX(Assumptions!$C$7:$C$12,MATCH(F48,Assumptions!$B$7:$B$12,0)))</f>
        <v>10038.688</v>
      </c>
      <c r="S48" s="3">
        <f>IF(N48="Cancelled",Assumptions!$C$19,IF(N48="Returned",Assumptions!$C$17+O48*Assumptions!$C$18+Assumptions!$C$20,Assumptions!$C$17+O48*Assumptions!$C$18))</f>
        <v>39.1</v>
      </c>
      <c r="T48" s="3">
        <f>R48+S48</f>
        <v>10077.788</v>
      </c>
      <c r="U48" s="7">
        <f>K48-T48</f>
        <v>1329.8119999999999</v>
      </c>
      <c r="V48" s="7">
        <f>IF(U48&gt;0,U48,0)</f>
        <v>1329.8119999999999</v>
      </c>
      <c r="W48" s="5">
        <f>IF(U48&gt;0,U48/H48,0)</f>
        <v>0.11657246046495318</v>
      </c>
      <c r="X48" s="7">
        <f>IF(U48&lt;0,-U48,0)</f>
        <v>0</v>
      </c>
      <c r="Y48" s="5">
        <f>IF(U48&lt;0,-U48/H48,0)</f>
        <v>0</v>
      </c>
      <c r="Z48" s="2" t="str">
        <f>IF(U48&gt;=0,"Profitable",IF(N48="Cancelled","Order Cancelled",IF(N48="Returned","Order Returned",IF(AND(I48&gt;=0.15,U48&lt;0),"High Discount",IF(S48&gt;H48,"Delivery Cost Exceeded Order Value","Low Order Value / Thin Margin")))))</f>
        <v>Profitable</v>
      </c>
    </row>
    <row r="49" spans="1:26" x14ac:dyDescent="0.3">
      <c r="A49" s="2" t="s">
        <v>186</v>
      </c>
      <c r="B49" s="6">
        <v>46058.902777777803</v>
      </c>
      <c r="C49" s="2" t="s">
        <v>187</v>
      </c>
      <c r="D49" s="2" t="s">
        <v>116</v>
      </c>
      <c r="E49" s="2" t="s">
        <v>5</v>
      </c>
      <c r="F49" s="2" t="s">
        <v>4</v>
      </c>
      <c r="G49" s="2">
        <v>1</v>
      </c>
      <c r="H49" s="3">
        <v>379.66</v>
      </c>
      <c r="I49" s="4">
        <v>0.05</v>
      </c>
      <c r="J49" s="3">
        <v>49</v>
      </c>
      <c r="K49" s="7">
        <f t="shared" si="0"/>
        <v>409.67700000000002</v>
      </c>
      <c r="L49" s="2" t="s">
        <v>14</v>
      </c>
      <c r="M49" s="2" t="s">
        <v>140</v>
      </c>
      <c r="N49" s="2" t="s">
        <v>13</v>
      </c>
      <c r="O49" s="2">
        <v>79</v>
      </c>
      <c r="P49" s="2">
        <v>5</v>
      </c>
      <c r="Q49" s="2" t="str">
        <f>TEXT(tblOrders[[#This Row],[Order Date]],"mmm-yyyy")</f>
        <v>Feb-2026</v>
      </c>
      <c r="R49" s="3">
        <f>IF(N49="Cancelled",0,H49*INDEX(Assumptions!$C$7:$C$12,MATCH(F49,Assumptions!$B$7:$B$12,0)))</f>
        <v>296.13480000000004</v>
      </c>
      <c r="S49" s="3">
        <f>IF(N49="Cancelled",Assumptions!$C$19,IF(N49="Returned",Assumptions!$C$17+O49*Assumptions!$C$18+Assumptions!$C$20,Assumptions!$C$17+O49*Assumptions!$C$18))</f>
        <v>48.7</v>
      </c>
      <c r="T49" s="3">
        <f>R49+S49</f>
        <v>344.83480000000003</v>
      </c>
      <c r="U49" s="7">
        <f>K49-T49</f>
        <v>64.842199999999991</v>
      </c>
      <c r="V49" s="7">
        <f>IF(U49&gt;0,U49,0)</f>
        <v>64.842199999999991</v>
      </c>
      <c r="W49" s="5">
        <f>IF(U49&gt;0,U49/H49,0)</f>
        <v>0.17079018068798396</v>
      </c>
      <c r="X49" s="7">
        <f>IF(U49&lt;0,-U49,0)</f>
        <v>0</v>
      </c>
      <c r="Y49" s="5">
        <f>IF(U49&lt;0,-U49/H49,0)</f>
        <v>0</v>
      </c>
      <c r="Z49" s="2" t="str">
        <f>IF(U49&gt;=0,"Profitable",IF(N49="Cancelled","Order Cancelled",IF(N49="Returned","Order Returned",IF(AND(I49&gt;=0.15,U49&lt;0),"High Discount",IF(S49&gt;H49,"Delivery Cost Exceeded Order Value","Low Order Value / Thin Margin")))))</f>
        <v>Profitable</v>
      </c>
    </row>
    <row r="50" spans="1:26" x14ac:dyDescent="0.3">
      <c r="A50" s="2" t="s">
        <v>188</v>
      </c>
      <c r="B50" s="6">
        <v>46059.819444444503</v>
      </c>
      <c r="C50" s="2" t="s">
        <v>189</v>
      </c>
      <c r="D50" s="2" t="s">
        <v>97</v>
      </c>
      <c r="E50" s="2" t="s">
        <v>3</v>
      </c>
      <c r="F50" s="2" t="s">
        <v>11</v>
      </c>
      <c r="G50" s="2">
        <v>5</v>
      </c>
      <c r="H50" s="3">
        <v>1447.77</v>
      </c>
      <c r="I50" s="4">
        <v>0.05</v>
      </c>
      <c r="J50" s="3">
        <v>0</v>
      </c>
      <c r="K50" s="7">
        <f t="shared" si="0"/>
        <v>1375.3815</v>
      </c>
      <c r="L50" s="2" t="s">
        <v>19</v>
      </c>
      <c r="M50" s="2" t="s">
        <v>88</v>
      </c>
      <c r="N50" s="2" t="s">
        <v>13</v>
      </c>
      <c r="O50" s="2">
        <v>65</v>
      </c>
      <c r="P50" s="2">
        <v>4</v>
      </c>
      <c r="Q50" s="2" t="str">
        <f>TEXT(tblOrders[[#This Row],[Order Date]],"mmm-yyyy")</f>
        <v>Feb-2026</v>
      </c>
      <c r="R50" s="3">
        <f>IF(N50="Cancelled",0,H50*INDEX(Assumptions!$C$7:$C$12,MATCH(F50,Assumptions!$B$7:$B$12,0)))</f>
        <v>941.05050000000006</v>
      </c>
      <c r="S50" s="3">
        <f>IF(N50="Cancelled",Assumptions!$C$19,IF(N50="Returned",Assumptions!$C$17+O50*Assumptions!$C$18+Assumptions!$C$20,Assumptions!$C$17+O50*Assumptions!$C$18))</f>
        <v>44.5</v>
      </c>
      <c r="T50" s="3">
        <f>R50+S50</f>
        <v>985.55050000000006</v>
      </c>
      <c r="U50" s="7">
        <f>K50-T50</f>
        <v>389.8309999999999</v>
      </c>
      <c r="V50" s="7">
        <f>IF(U50&gt;0,U50,0)</f>
        <v>389.8309999999999</v>
      </c>
      <c r="W50" s="5">
        <f>IF(U50&gt;0,U50/H50,0)</f>
        <v>0.26926307355450102</v>
      </c>
      <c r="X50" s="7">
        <f>IF(U50&lt;0,-U50,0)</f>
        <v>0</v>
      </c>
      <c r="Y50" s="5">
        <f>IF(U50&lt;0,-U50/H50,0)</f>
        <v>0</v>
      </c>
      <c r="Z50" s="2" t="str">
        <f>IF(U50&gt;=0,"Profitable",IF(N50="Cancelled","Order Cancelled",IF(N50="Returned","Order Returned",IF(AND(I50&gt;=0.15,U50&lt;0),"High Discount",IF(S50&gt;H50,"Delivery Cost Exceeded Order Value","Low Order Value / Thin Margin")))))</f>
        <v>Profitable</v>
      </c>
    </row>
    <row r="51" spans="1:26" x14ac:dyDescent="0.3">
      <c r="A51" s="2" t="s">
        <v>190</v>
      </c>
      <c r="B51" s="6">
        <v>46061.648611111101</v>
      </c>
      <c r="C51" s="2" t="s">
        <v>191</v>
      </c>
      <c r="D51" s="2" t="s">
        <v>131</v>
      </c>
      <c r="E51" s="2" t="s">
        <v>3</v>
      </c>
      <c r="F51" s="2" t="s">
        <v>8</v>
      </c>
      <c r="G51" s="2">
        <v>5</v>
      </c>
      <c r="H51" s="3">
        <v>1695.68</v>
      </c>
      <c r="I51" s="4">
        <v>0</v>
      </c>
      <c r="J51" s="3">
        <v>0</v>
      </c>
      <c r="K51" s="7">
        <f t="shared" si="0"/>
        <v>0</v>
      </c>
      <c r="L51" s="2" t="s">
        <v>16</v>
      </c>
      <c r="M51" s="2" t="s">
        <v>175</v>
      </c>
      <c r="N51" s="2" t="s">
        <v>17</v>
      </c>
      <c r="O51" s="2">
        <v>48</v>
      </c>
      <c r="P51" s="2">
        <v>3</v>
      </c>
      <c r="Q51" s="2" t="str">
        <f>TEXT(tblOrders[[#This Row],[Order Date]],"mmm-yyyy")</f>
        <v>Feb-2026</v>
      </c>
      <c r="R51" s="3">
        <f>IF(N51="Cancelled",0,H51*INDEX(Assumptions!$C$7:$C$12,MATCH(F51,Assumptions!$B$7:$B$12,0)))</f>
        <v>932.62400000000014</v>
      </c>
      <c r="S51" s="3">
        <f>IF(N51="Cancelled",Assumptions!$C$19,IF(N51="Returned",Assumptions!$C$17+O51*Assumptions!$C$18+Assumptions!$C$20,Assumptions!$C$17+O51*Assumptions!$C$18))</f>
        <v>59.4</v>
      </c>
      <c r="T51" s="3">
        <f>R51+S51</f>
        <v>992.02400000000011</v>
      </c>
      <c r="U51" s="7">
        <f>K51-T51</f>
        <v>-992.02400000000011</v>
      </c>
      <c r="V51" s="7">
        <f>IF(U51&gt;0,U51,0)</f>
        <v>0</v>
      </c>
      <c r="W51" s="5">
        <f>IF(U51&gt;0,U51/H51,0)</f>
        <v>0</v>
      </c>
      <c r="X51" s="7">
        <f>IF(U51&lt;0,-U51,0)</f>
        <v>992.02400000000011</v>
      </c>
      <c r="Y51" s="5">
        <f>IF(U51&lt;0,-U51/H51,0)</f>
        <v>0.58503019437629744</v>
      </c>
      <c r="Z51" s="2" t="str">
        <f>IF(U51&gt;=0,"Profitable",IF(N51="Cancelled","Order Cancelled",IF(N51="Returned","Order Returned",IF(AND(I51&gt;=0.15,U51&lt;0),"High Discount",IF(S51&gt;H51,"Delivery Cost Exceeded Order Value","Low Order Value / Thin Margin")))))</f>
        <v>Order Returned</v>
      </c>
    </row>
    <row r="52" spans="1:26" x14ac:dyDescent="0.3">
      <c r="A52" s="2" t="s">
        <v>192</v>
      </c>
      <c r="B52" s="6">
        <v>46061.858333333301</v>
      </c>
      <c r="C52" s="2" t="s">
        <v>193</v>
      </c>
      <c r="D52" s="2" t="s">
        <v>116</v>
      </c>
      <c r="E52" s="2" t="s">
        <v>3</v>
      </c>
      <c r="F52" s="2" t="s">
        <v>11</v>
      </c>
      <c r="G52" s="2">
        <v>2</v>
      </c>
      <c r="H52" s="3">
        <v>887.02</v>
      </c>
      <c r="I52" s="4">
        <v>0.2</v>
      </c>
      <c r="J52" s="3">
        <v>59</v>
      </c>
      <c r="K52" s="7">
        <f t="shared" si="0"/>
        <v>768.61599999999999</v>
      </c>
      <c r="L52" s="2" t="s">
        <v>16</v>
      </c>
      <c r="M52" s="2" t="s">
        <v>107</v>
      </c>
      <c r="N52" s="2" t="s">
        <v>13</v>
      </c>
      <c r="O52" s="2">
        <v>66</v>
      </c>
      <c r="P52" s="2">
        <v>4</v>
      </c>
      <c r="Q52" s="2" t="str">
        <f>TEXT(tblOrders[[#This Row],[Order Date]],"mmm-yyyy")</f>
        <v>Feb-2026</v>
      </c>
      <c r="R52" s="3">
        <f>IF(N52="Cancelled",0,H52*INDEX(Assumptions!$C$7:$C$12,MATCH(F52,Assumptions!$B$7:$B$12,0)))</f>
        <v>576.56299999999999</v>
      </c>
      <c r="S52" s="3">
        <f>IF(N52="Cancelled",Assumptions!$C$19,IF(N52="Returned",Assumptions!$C$17+O52*Assumptions!$C$18+Assumptions!$C$20,Assumptions!$C$17+O52*Assumptions!$C$18))</f>
        <v>44.8</v>
      </c>
      <c r="T52" s="3">
        <f>R52+S52</f>
        <v>621.36299999999994</v>
      </c>
      <c r="U52" s="7">
        <f>K52-T52</f>
        <v>147.25300000000004</v>
      </c>
      <c r="V52" s="7">
        <f>IF(U52&gt;0,U52,0)</f>
        <v>147.25300000000004</v>
      </c>
      <c r="W52" s="5">
        <f>IF(U52&gt;0,U52/H52,0)</f>
        <v>0.1660086582038737</v>
      </c>
      <c r="X52" s="7">
        <f>IF(U52&lt;0,-U52,0)</f>
        <v>0</v>
      </c>
      <c r="Y52" s="5">
        <f>IF(U52&lt;0,-U52/H52,0)</f>
        <v>0</v>
      </c>
      <c r="Z52" s="2" t="str">
        <f>IF(U52&gt;=0,"Profitable",IF(N52="Cancelled","Order Cancelled",IF(N52="Returned","Order Returned",IF(AND(I52&gt;=0.15,U52&lt;0),"High Discount",IF(S52&gt;H52,"Delivery Cost Exceeded Order Value","Low Order Value / Thin Margin")))))</f>
        <v>Profitable</v>
      </c>
    </row>
    <row r="53" spans="1:26" x14ac:dyDescent="0.3">
      <c r="A53" s="2" t="s">
        <v>194</v>
      </c>
      <c r="B53" s="6">
        <v>46062.574999999997</v>
      </c>
      <c r="C53" s="2" t="s">
        <v>195</v>
      </c>
      <c r="D53" s="2" t="s">
        <v>69</v>
      </c>
      <c r="E53" s="2" t="s">
        <v>5</v>
      </c>
      <c r="F53" s="2" t="s">
        <v>4</v>
      </c>
      <c r="G53" s="2">
        <v>5</v>
      </c>
      <c r="H53" s="3">
        <v>1114.42</v>
      </c>
      <c r="I53" s="4">
        <v>0.1</v>
      </c>
      <c r="J53" s="3">
        <v>0</v>
      </c>
      <c r="K53" s="7">
        <f t="shared" si="0"/>
        <v>1002.9780000000001</v>
      </c>
      <c r="L53" s="2" t="s">
        <v>18</v>
      </c>
      <c r="M53" s="2" t="s">
        <v>70</v>
      </c>
      <c r="N53" s="2" t="s">
        <v>13</v>
      </c>
      <c r="O53" s="2">
        <v>32</v>
      </c>
      <c r="P53" s="2">
        <v>4</v>
      </c>
      <c r="Q53" s="2" t="str">
        <f>TEXT(tblOrders[[#This Row],[Order Date]],"mmm-yyyy")</f>
        <v>Feb-2026</v>
      </c>
      <c r="R53" s="3">
        <f>IF(N53="Cancelled",0,H53*INDEX(Assumptions!$C$7:$C$12,MATCH(F53,Assumptions!$B$7:$B$12,0)))</f>
        <v>869.24760000000003</v>
      </c>
      <c r="S53" s="3">
        <f>IF(N53="Cancelled",Assumptions!$C$19,IF(N53="Returned",Assumptions!$C$17+O53*Assumptions!$C$18+Assumptions!$C$20,Assumptions!$C$17+O53*Assumptions!$C$18))</f>
        <v>34.6</v>
      </c>
      <c r="T53" s="3">
        <f>R53+S53</f>
        <v>903.84760000000006</v>
      </c>
      <c r="U53" s="7">
        <f>K53-T53</f>
        <v>99.130400000000009</v>
      </c>
      <c r="V53" s="7">
        <f>IF(U53&gt;0,U53,0)</f>
        <v>99.130400000000009</v>
      </c>
      <c r="W53" s="5">
        <f>IF(U53&gt;0,U53/H53,0)</f>
        <v>8.8952459575384502E-2</v>
      </c>
      <c r="X53" s="7">
        <f>IF(U53&lt;0,-U53,0)</f>
        <v>0</v>
      </c>
      <c r="Y53" s="5">
        <f>IF(U53&lt;0,-U53/H53,0)</f>
        <v>0</v>
      </c>
      <c r="Z53" s="2" t="str">
        <f>IF(U53&gt;=0,"Profitable",IF(N53="Cancelled","Order Cancelled",IF(N53="Returned","Order Returned",IF(AND(I53&gt;=0.15,U53&lt;0),"High Discount",IF(S53&gt;H53,"Delivery Cost Exceeded Order Value","Low Order Value / Thin Margin")))))</f>
        <v>Profitable</v>
      </c>
    </row>
    <row r="54" spans="1:26" x14ac:dyDescent="0.3">
      <c r="A54" s="2" t="s">
        <v>196</v>
      </c>
      <c r="B54" s="6">
        <v>46062.756944444503</v>
      </c>
      <c r="C54" s="2" t="s">
        <v>197</v>
      </c>
      <c r="D54" s="2" t="s">
        <v>73</v>
      </c>
      <c r="E54" s="2" t="s">
        <v>3</v>
      </c>
      <c r="F54" s="2" t="s">
        <v>9</v>
      </c>
      <c r="G54" s="2">
        <v>1</v>
      </c>
      <c r="H54" s="3">
        <v>407.81</v>
      </c>
      <c r="I54" s="4">
        <v>0.1</v>
      </c>
      <c r="J54" s="3">
        <v>59</v>
      </c>
      <c r="K54" s="7">
        <f t="shared" si="0"/>
        <v>59</v>
      </c>
      <c r="L54" s="2" t="s">
        <v>18</v>
      </c>
      <c r="M54" s="2" t="s">
        <v>110</v>
      </c>
      <c r="N54" s="2" t="s">
        <v>17</v>
      </c>
      <c r="O54" s="2">
        <v>19</v>
      </c>
      <c r="P54" s="2">
        <v>3</v>
      </c>
      <c r="Q54" s="2" t="str">
        <f>TEXT(tblOrders[[#This Row],[Order Date]],"mmm-yyyy")</f>
        <v>Feb-2026</v>
      </c>
      <c r="R54" s="3">
        <f>IF(N54="Cancelled",0,H54*INDEX(Assumptions!$C$7:$C$12,MATCH(F54,Assumptions!$B$7:$B$12,0)))</f>
        <v>183.5145</v>
      </c>
      <c r="S54" s="3">
        <f>IF(N54="Cancelled",Assumptions!$C$19,IF(N54="Returned",Assumptions!$C$17+O54*Assumptions!$C$18+Assumptions!$C$20,Assumptions!$C$17+O54*Assumptions!$C$18))</f>
        <v>50.7</v>
      </c>
      <c r="T54" s="3">
        <f>R54+S54</f>
        <v>234.21449999999999</v>
      </c>
      <c r="U54" s="7">
        <f>K54-T54</f>
        <v>-175.21449999999999</v>
      </c>
      <c r="V54" s="7">
        <f>IF(U54&gt;0,U54,0)</f>
        <v>0</v>
      </c>
      <c r="W54" s="5">
        <f>IF(U54&gt;0,U54/H54,0)</f>
        <v>0</v>
      </c>
      <c r="X54" s="7">
        <f>IF(U54&lt;0,-U54,0)</f>
        <v>175.21449999999999</v>
      </c>
      <c r="Y54" s="5">
        <f>IF(U54&lt;0,-U54/H54,0)</f>
        <v>0.42964738481155434</v>
      </c>
      <c r="Z54" s="2" t="str">
        <f>IF(U54&gt;=0,"Profitable",IF(N54="Cancelled","Order Cancelled",IF(N54="Returned","Order Returned",IF(AND(I54&gt;=0.15,U54&lt;0),"High Discount",IF(S54&gt;H54,"Delivery Cost Exceeded Order Value","Low Order Value / Thin Margin")))))</f>
        <v>Order Returned</v>
      </c>
    </row>
    <row r="55" spans="1:26" x14ac:dyDescent="0.3">
      <c r="A55" s="2" t="s">
        <v>198</v>
      </c>
      <c r="B55" s="6">
        <v>46062.770833333299</v>
      </c>
      <c r="C55" s="2" t="s">
        <v>197</v>
      </c>
      <c r="D55" s="2" t="s">
        <v>131</v>
      </c>
      <c r="E55" s="2" t="s">
        <v>3</v>
      </c>
      <c r="F55" s="2" t="s">
        <v>4</v>
      </c>
      <c r="G55" s="2">
        <v>5</v>
      </c>
      <c r="H55" s="3">
        <v>535.94000000000005</v>
      </c>
      <c r="I55" s="4">
        <v>0.2</v>
      </c>
      <c r="J55" s="3">
        <v>49</v>
      </c>
      <c r="K55" s="7">
        <f t="shared" si="0"/>
        <v>477.75200000000007</v>
      </c>
      <c r="L55" s="2" t="s">
        <v>16</v>
      </c>
      <c r="M55" s="2" t="s">
        <v>143</v>
      </c>
      <c r="N55" s="2" t="s">
        <v>13</v>
      </c>
      <c r="O55" s="2">
        <v>89</v>
      </c>
      <c r="P55" s="2">
        <v>5</v>
      </c>
      <c r="Q55" s="2" t="str">
        <f>TEXT(tblOrders[[#This Row],[Order Date]],"mmm-yyyy")</f>
        <v>Feb-2026</v>
      </c>
      <c r="R55" s="3">
        <f>IF(N55="Cancelled",0,H55*INDEX(Assumptions!$C$7:$C$12,MATCH(F55,Assumptions!$B$7:$B$12,0)))</f>
        <v>418.03320000000008</v>
      </c>
      <c r="S55" s="3">
        <f>IF(N55="Cancelled",Assumptions!$C$19,IF(N55="Returned",Assumptions!$C$17+O55*Assumptions!$C$18+Assumptions!$C$20,Assumptions!$C$17+O55*Assumptions!$C$18))</f>
        <v>51.7</v>
      </c>
      <c r="T55" s="3">
        <f>R55+S55</f>
        <v>469.73320000000007</v>
      </c>
      <c r="U55" s="7">
        <f>K55-T55</f>
        <v>8.0187999999999988</v>
      </c>
      <c r="V55" s="7">
        <f>IF(U55&gt;0,U55,0)</f>
        <v>8.0187999999999988</v>
      </c>
      <c r="W55" s="5">
        <f>IF(U55&gt;0,U55/H55,0)</f>
        <v>1.4962122625667049E-2</v>
      </c>
      <c r="X55" s="7">
        <f>IF(U55&lt;0,-U55,0)</f>
        <v>0</v>
      </c>
      <c r="Y55" s="5">
        <f>IF(U55&lt;0,-U55/H55,0)</f>
        <v>0</v>
      </c>
      <c r="Z55" s="2" t="str">
        <f>IF(U55&gt;=0,"Profitable",IF(N55="Cancelled","Order Cancelled",IF(N55="Returned","Order Returned",IF(AND(I55&gt;=0.15,U55&lt;0),"High Discount",IF(S55&gt;H55,"Delivery Cost Exceeded Order Value","Low Order Value / Thin Margin")))))</f>
        <v>Profitable</v>
      </c>
    </row>
    <row r="56" spans="1:26" x14ac:dyDescent="0.3">
      <c r="A56" s="2" t="s">
        <v>199</v>
      </c>
      <c r="B56" s="6">
        <v>46063.351388888899</v>
      </c>
      <c r="C56" s="2" t="s">
        <v>109</v>
      </c>
      <c r="D56" s="2" t="s">
        <v>116</v>
      </c>
      <c r="E56" s="2" t="s">
        <v>3</v>
      </c>
      <c r="F56" s="2" t="s">
        <v>8</v>
      </c>
      <c r="G56" s="2">
        <v>3</v>
      </c>
      <c r="H56" s="3">
        <v>420.77</v>
      </c>
      <c r="I56" s="4">
        <v>0</v>
      </c>
      <c r="J56" s="3">
        <v>49</v>
      </c>
      <c r="K56" s="7">
        <f t="shared" si="0"/>
        <v>469.77</v>
      </c>
      <c r="L56" s="2" t="s">
        <v>19</v>
      </c>
      <c r="M56" s="2" t="s">
        <v>200</v>
      </c>
      <c r="N56" s="2" t="s">
        <v>13</v>
      </c>
      <c r="O56" s="2">
        <v>47</v>
      </c>
      <c r="P56" s="2">
        <v>4</v>
      </c>
      <c r="Q56" s="2" t="str">
        <f>TEXT(tblOrders[[#This Row],[Order Date]],"mmm-yyyy")</f>
        <v>Feb-2026</v>
      </c>
      <c r="R56" s="3">
        <f>IF(N56="Cancelled",0,H56*INDEX(Assumptions!$C$7:$C$12,MATCH(F56,Assumptions!$B$7:$B$12,0)))</f>
        <v>231.42350000000002</v>
      </c>
      <c r="S56" s="3">
        <f>IF(N56="Cancelled",Assumptions!$C$19,IF(N56="Returned",Assumptions!$C$17+O56*Assumptions!$C$18+Assumptions!$C$20,Assumptions!$C$17+O56*Assumptions!$C$18))</f>
        <v>39.1</v>
      </c>
      <c r="T56" s="3">
        <f>R56+S56</f>
        <v>270.52350000000001</v>
      </c>
      <c r="U56" s="7">
        <f>K56-T56</f>
        <v>199.24649999999997</v>
      </c>
      <c r="V56" s="7">
        <f>IF(U56&gt;0,U56,0)</f>
        <v>199.24649999999997</v>
      </c>
      <c r="W56" s="5">
        <f>IF(U56&gt;0,U56/H56,0)</f>
        <v>0.47352829336692248</v>
      </c>
      <c r="X56" s="7">
        <f>IF(U56&lt;0,-U56,0)</f>
        <v>0</v>
      </c>
      <c r="Y56" s="5">
        <f>IF(U56&lt;0,-U56/H56,0)</f>
        <v>0</v>
      </c>
      <c r="Z56" s="2" t="str">
        <f>IF(U56&gt;=0,"Profitable",IF(N56="Cancelled","Order Cancelled",IF(N56="Returned","Order Returned",IF(AND(I56&gt;=0.15,U56&lt;0),"High Discount",IF(S56&gt;H56,"Delivery Cost Exceeded Order Value","Low Order Value / Thin Margin")))))</f>
        <v>Profitable</v>
      </c>
    </row>
    <row r="57" spans="1:26" x14ac:dyDescent="0.3">
      <c r="A57" s="2" t="s">
        <v>201</v>
      </c>
      <c r="B57" s="6">
        <v>46063.385416666701</v>
      </c>
      <c r="C57" s="2" t="s">
        <v>202</v>
      </c>
      <c r="D57" s="2" t="s">
        <v>87</v>
      </c>
      <c r="E57" s="2" t="s">
        <v>3</v>
      </c>
      <c r="F57" s="2" t="s">
        <v>9</v>
      </c>
      <c r="G57" s="2">
        <v>6</v>
      </c>
      <c r="H57" s="3">
        <v>144.72999999999999</v>
      </c>
      <c r="I57" s="4">
        <v>0</v>
      </c>
      <c r="J57" s="3">
        <v>59</v>
      </c>
      <c r="K57" s="7">
        <f t="shared" si="0"/>
        <v>0</v>
      </c>
      <c r="L57" s="2" t="s">
        <v>18</v>
      </c>
      <c r="M57" s="2" t="s">
        <v>137</v>
      </c>
      <c r="N57" s="2" t="s">
        <v>15</v>
      </c>
      <c r="O57" s="2"/>
      <c r="P57" s="2"/>
      <c r="Q57" s="2" t="str">
        <f>TEXT(tblOrders[[#This Row],[Order Date]],"mmm-yyyy")</f>
        <v>Feb-2026</v>
      </c>
      <c r="R57" s="3">
        <f>IF(N57="Cancelled",0,H57*INDEX(Assumptions!$C$7:$C$12,MATCH(F57,Assumptions!$B$7:$B$12,0)))</f>
        <v>0</v>
      </c>
      <c r="S57" s="3">
        <f>IF(N57="Cancelled",Assumptions!$C$19,IF(N57="Returned",Assumptions!$C$17+O57*Assumptions!$C$18+Assumptions!$C$20,Assumptions!$C$17+O57*Assumptions!$C$18))</f>
        <v>15</v>
      </c>
      <c r="T57" s="3">
        <f>R57+S57</f>
        <v>15</v>
      </c>
      <c r="U57" s="7">
        <f>K57-T57</f>
        <v>-15</v>
      </c>
      <c r="V57" s="7">
        <f>IF(U57&gt;0,U57,0)</f>
        <v>0</v>
      </c>
      <c r="W57" s="5">
        <f>IF(U57&gt;0,U57/H57,0)</f>
        <v>0</v>
      </c>
      <c r="X57" s="7">
        <f>IF(U57&lt;0,-U57,0)</f>
        <v>15</v>
      </c>
      <c r="Y57" s="5">
        <f>IF(U57&lt;0,-U57/H57,0)</f>
        <v>0.10364126304152561</v>
      </c>
      <c r="Z57" s="2" t="str">
        <f>IF(U57&gt;=0,"Profitable",IF(N57="Cancelled","Order Cancelled",IF(N57="Returned","Order Returned",IF(AND(I57&gt;=0.15,U57&lt;0),"High Discount",IF(S57&gt;H57,"Delivery Cost Exceeded Order Value","Low Order Value / Thin Margin")))))</f>
        <v>Order Cancelled</v>
      </c>
    </row>
    <row r="58" spans="1:26" x14ac:dyDescent="0.3">
      <c r="A58" s="2" t="s">
        <v>203</v>
      </c>
      <c r="B58" s="6">
        <v>46063.829861111102</v>
      </c>
      <c r="C58" s="2" t="s">
        <v>204</v>
      </c>
      <c r="D58" s="2" t="s">
        <v>69</v>
      </c>
      <c r="E58" s="2" t="s">
        <v>3</v>
      </c>
      <c r="F58" s="2" t="s">
        <v>8</v>
      </c>
      <c r="G58" s="2">
        <v>2</v>
      </c>
      <c r="H58" s="3">
        <v>3407.49</v>
      </c>
      <c r="I58" s="4">
        <v>0</v>
      </c>
      <c r="J58" s="3">
        <v>0</v>
      </c>
      <c r="K58" s="7">
        <f t="shared" si="0"/>
        <v>3407.49</v>
      </c>
      <c r="L58" s="2" t="s">
        <v>19</v>
      </c>
      <c r="M58" s="2" t="s">
        <v>164</v>
      </c>
      <c r="N58" s="2" t="s">
        <v>13</v>
      </c>
      <c r="O58" s="2">
        <v>53</v>
      </c>
      <c r="P58" s="2">
        <v>4</v>
      </c>
      <c r="Q58" s="2" t="str">
        <f>TEXT(tblOrders[[#This Row],[Order Date]],"mmm-yyyy")</f>
        <v>Feb-2026</v>
      </c>
      <c r="R58" s="3">
        <f>IF(N58="Cancelled",0,H58*INDEX(Assumptions!$C$7:$C$12,MATCH(F58,Assumptions!$B$7:$B$12,0)))</f>
        <v>1874.1195</v>
      </c>
      <c r="S58" s="3">
        <f>IF(N58="Cancelled",Assumptions!$C$19,IF(N58="Returned",Assumptions!$C$17+O58*Assumptions!$C$18+Assumptions!$C$20,Assumptions!$C$17+O58*Assumptions!$C$18))</f>
        <v>40.9</v>
      </c>
      <c r="T58" s="3">
        <f>R58+S58</f>
        <v>1915.0195000000001</v>
      </c>
      <c r="U58" s="7">
        <f>K58-T58</f>
        <v>1492.4704999999997</v>
      </c>
      <c r="V58" s="7">
        <f>IF(U58&gt;0,U58,0)</f>
        <v>1492.4704999999997</v>
      </c>
      <c r="W58" s="5">
        <f>IF(U58&gt;0,U58/H58,0)</f>
        <v>0.43799703007198842</v>
      </c>
      <c r="X58" s="7">
        <f>IF(U58&lt;0,-U58,0)</f>
        <v>0</v>
      </c>
      <c r="Y58" s="5">
        <f>IF(U58&lt;0,-U58/H58,0)</f>
        <v>0</v>
      </c>
      <c r="Z58" s="2" t="str">
        <f>IF(U58&gt;=0,"Profitable",IF(N58="Cancelled","Order Cancelled",IF(N58="Returned","Order Returned",IF(AND(I58&gt;=0.15,U58&lt;0),"High Discount",IF(S58&gt;H58,"Delivery Cost Exceeded Order Value","Low Order Value / Thin Margin")))))</f>
        <v>Profitable</v>
      </c>
    </row>
    <row r="59" spans="1:26" x14ac:dyDescent="0.3">
      <c r="A59" s="2" t="s">
        <v>205</v>
      </c>
      <c r="B59" s="6">
        <v>46064.582638888904</v>
      </c>
      <c r="C59" s="2" t="s">
        <v>206</v>
      </c>
      <c r="D59" s="2" t="s">
        <v>97</v>
      </c>
      <c r="E59" s="2" t="s">
        <v>3</v>
      </c>
      <c r="F59" s="2" t="s">
        <v>9</v>
      </c>
      <c r="G59" s="2">
        <v>5</v>
      </c>
      <c r="H59" s="3">
        <v>815.94</v>
      </c>
      <c r="I59" s="4">
        <v>0.2</v>
      </c>
      <c r="J59" s="3">
        <v>29</v>
      </c>
      <c r="K59" s="7">
        <f t="shared" si="0"/>
        <v>681.75200000000007</v>
      </c>
      <c r="L59" s="2" t="s">
        <v>18</v>
      </c>
      <c r="M59" s="2" t="s">
        <v>74</v>
      </c>
      <c r="N59" s="2" t="s">
        <v>13</v>
      </c>
      <c r="O59" s="2">
        <v>88</v>
      </c>
      <c r="P59" s="2">
        <v>4</v>
      </c>
      <c r="Q59" s="2" t="str">
        <f>TEXT(tblOrders[[#This Row],[Order Date]],"mmm-yyyy")</f>
        <v>Feb-2026</v>
      </c>
      <c r="R59" s="3">
        <f>IF(N59="Cancelled",0,H59*INDEX(Assumptions!$C$7:$C$12,MATCH(F59,Assumptions!$B$7:$B$12,0)))</f>
        <v>367.17300000000006</v>
      </c>
      <c r="S59" s="3">
        <f>IF(N59="Cancelled",Assumptions!$C$19,IF(N59="Returned",Assumptions!$C$17+O59*Assumptions!$C$18+Assumptions!$C$20,Assumptions!$C$17+O59*Assumptions!$C$18))</f>
        <v>51.4</v>
      </c>
      <c r="T59" s="3">
        <f>R59+S59</f>
        <v>418.57300000000004</v>
      </c>
      <c r="U59" s="7">
        <f>K59-T59</f>
        <v>263.17900000000003</v>
      </c>
      <c r="V59" s="7">
        <f>IF(U59&gt;0,U59,0)</f>
        <v>263.17900000000003</v>
      </c>
      <c r="W59" s="5">
        <f>IF(U59&gt;0,U59/H59,0)</f>
        <v>0.32254700100497585</v>
      </c>
      <c r="X59" s="7">
        <f>IF(U59&lt;0,-U59,0)</f>
        <v>0</v>
      </c>
      <c r="Y59" s="5">
        <f>IF(U59&lt;0,-U59/H59,0)</f>
        <v>0</v>
      </c>
      <c r="Z59" s="2" t="str">
        <f>IF(U59&gt;=0,"Profitable",IF(N59="Cancelled","Order Cancelled",IF(N59="Returned","Order Returned",IF(AND(I59&gt;=0.15,U59&lt;0),"High Discount",IF(S59&gt;H59,"Delivery Cost Exceeded Order Value","Low Order Value / Thin Margin")))))</f>
        <v>Profitable</v>
      </c>
    </row>
    <row r="60" spans="1:26" x14ac:dyDescent="0.3">
      <c r="A60" s="2" t="s">
        <v>207</v>
      </c>
      <c r="B60" s="6">
        <v>46065.713888888902</v>
      </c>
      <c r="C60" s="2" t="s">
        <v>208</v>
      </c>
      <c r="D60" s="2" t="s">
        <v>97</v>
      </c>
      <c r="E60" s="2" t="s">
        <v>5</v>
      </c>
      <c r="F60" s="2" t="s">
        <v>9</v>
      </c>
      <c r="G60" s="2">
        <v>1</v>
      </c>
      <c r="H60" s="3">
        <v>556.05999999999995</v>
      </c>
      <c r="I60" s="4">
        <v>0.1</v>
      </c>
      <c r="J60" s="3">
        <v>49</v>
      </c>
      <c r="K60" s="7">
        <f t="shared" si="0"/>
        <v>549.45399999999995</v>
      </c>
      <c r="L60" s="2" t="s">
        <v>16</v>
      </c>
      <c r="M60" s="2" t="s">
        <v>200</v>
      </c>
      <c r="N60" s="2" t="s">
        <v>13</v>
      </c>
      <c r="O60" s="2">
        <v>55</v>
      </c>
      <c r="P60" s="2">
        <v>4</v>
      </c>
      <c r="Q60" s="2" t="str">
        <f>TEXT(tblOrders[[#This Row],[Order Date]],"mmm-yyyy")</f>
        <v>Feb-2026</v>
      </c>
      <c r="R60" s="3">
        <f>IF(N60="Cancelled",0,H60*INDEX(Assumptions!$C$7:$C$12,MATCH(F60,Assumptions!$B$7:$B$12,0)))</f>
        <v>250.22699999999998</v>
      </c>
      <c r="S60" s="3">
        <f>IF(N60="Cancelled",Assumptions!$C$19,IF(N60="Returned",Assumptions!$C$17+O60*Assumptions!$C$18+Assumptions!$C$20,Assumptions!$C$17+O60*Assumptions!$C$18))</f>
        <v>41.5</v>
      </c>
      <c r="T60" s="3">
        <f>R60+S60</f>
        <v>291.72699999999998</v>
      </c>
      <c r="U60" s="7">
        <f>K60-T60</f>
        <v>257.72699999999998</v>
      </c>
      <c r="V60" s="7">
        <f>IF(U60&gt;0,U60,0)</f>
        <v>257.72699999999998</v>
      </c>
      <c r="W60" s="5">
        <f>IF(U60&gt;0,U60/H60,0)</f>
        <v>0.46348775312016688</v>
      </c>
      <c r="X60" s="7">
        <f>IF(U60&lt;0,-U60,0)</f>
        <v>0</v>
      </c>
      <c r="Y60" s="5">
        <f>IF(U60&lt;0,-U60/H60,0)</f>
        <v>0</v>
      </c>
      <c r="Z60" s="2" t="str">
        <f>IF(U60&gt;=0,"Profitable",IF(N60="Cancelled","Order Cancelled",IF(N60="Returned","Order Returned",IF(AND(I60&gt;=0.15,U60&lt;0),"High Discount",IF(S60&gt;H60,"Delivery Cost Exceeded Order Value","Low Order Value / Thin Margin")))))</f>
        <v>Profitable</v>
      </c>
    </row>
    <row r="61" spans="1:26" x14ac:dyDescent="0.3">
      <c r="A61" s="2" t="s">
        <v>209</v>
      </c>
      <c r="B61" s="6">
        <v>46066.448611111096</v>
      </c>
      <c r="C61" s="2" t="s">
        <v>210</v>
      </c>
      <c r="D61" s="2" t="s">
        <v>116</v>
      </c>
      <c r="E61" s="2" t="s">
        <v>3</v>
      </c>
      <c r="F61" s="2" t="s">
        <v>8</v>
      </c>
      <c r="G61" s="2">
        <v>5</v>
      </c>
      <c r="H61" s="3">
        <v>3964.2</v>
      </c>
      <c r="I61" s="4">
        <v>0</v>
      </c>
      <c r="J61" s="3">
        <v>0</v>
      </c>
      <c r="K61" s="7">
        <f t="shared" si="0"/>
        <v>3964.2</v>
      </c>
      <c r="L61" s="2" t="s">
        <v>14</v>
      </c>
      <c r="M61" s="2" t="s">
        <v>113</v>
      </c>
      <c r="N61" s="2" t="s">
        <v>13</v>
      </c>
      <c r="O61" s="2">
        <v>27</v>
      </c>
      <c r="P61" s="2">
        <v>5</v>
      </c>
      <c r="Q61" s="2" t="str">
        <f>TEXT(tblOrders[[#This Row],[Order Date]],"mmm-yyyy")</f>
        <v>Feb-2026</v>
      </c>
      <c r="R61" s="3">
        <f>IF(N61="Cancelled",0,H61*INDEX(Assumptions!$C$7:$C$12,MATCH(F61,Assumptions!$B$7:$B$12,0)))</f>
        <v>2180.31</v>
      </c>
      <c r="S61" s="3">
        <f>IF(N61="Cancelled",Assumptions!$C$19,IF(N61="Returned",Assumptions!$C$17+O61*Assumptions!$C$18+Assumptions!$C$20,Assumptions!$C$17+O61*Assumptions!$C$18))</f>
        <v>33.1</v>
      </c>
      <c r="T61" s="3">
        <f>R61+S61</f>
        <v>2213.41</v>
      </c>
      <c r="U61" s="7">
        <f>K61-T61</f>
        <v>1750.79</v>
      </c>
      <c r="V61" s="7">
        <f>IF(U61&gt;0,U61,0)</f>
        <v>1750.79</v>
      </c>
      <c r="W61" s="5">
        <f>IF(U61&gt;0,U61/H61,0)</f>
        <v>0.44165026991574596</v>
      </c>
      <c r="X61" s="7">
        <f>IF(U61&lt;0,-U61,0)</f>
        <v>0</v>
      </c>
      <c r="Y61" s="5">
        <f>IF(U61&lt;0,-U61/H61,0)</f>
        <v>0</v>
      </c>
      <c r="Z61" s="2" t="str">
        <f>IF(U61&gt;=0,"Profitable",IF(N61="Cancelled","Order Cancelled",IF(N61="Returned","Order Returned",IF(AND(I61&gt;=0.15,U61&lt;0),"High Discount",IF(S61&gt;H61,"Delivery Cost Exceeded Order Value","Low Order Value / Thin Margin")))))</f>
        <v>Profitable</v>
      </c>
    </row>
    <row r="62" spans="1:26" x14ac:dyDescent="0.3">
      <c r="A62" s="2" t="s">
        <v>211</v>
      </c>
      <c r="B62" s="6">
        <v>46066.860416666699</v>
      </c>
      <c r="C62" s="2" t="s">
        <v>212</v>
      </c>
      <c r="D62" s="2" t="s">
        <v>87</v>
      </c>
      <c r="E62" s="2" t="s">
        <v>5</v>
      </c>
      <c r="F62" s="2" t="s">
        <v>8</v>
      </c>
      <c r="G62" s="2">
        <v>3</v>
      </c>
      <c r="H62" s="3">
        <v>626.08000000000004</v>
      </c>
      <c r="I62" s="4">
        <v>0.2</v>
      </c>
      <c r="J62" s="3">
        <v>29</v>
      </c>
      <c r="K62" s="7">
        <f t="shared" si="0"/>
        <v>529.86400000000003</v>
      </c>
      <c r="L62" s="2" t="s">
        <v>16</v>
      </c>
      <c r="M62" s="2" t="s">
        <v>164</v>
      </c>
      <c r="N62" s="2" t="s">
        <v>13</v>
      </c>
      <c r="O62" s="2">
        <v>69</v>
      </c>
      <c r="P62" s="2">
        <v>5</v>
      </c>
      <c r="Q62" s="2" t="str">
        <f>TEXT(tblOrders[[#This Row],[Order Date]],"mmm-yyyy")</f>
        <v>Feb-2026</v>
      </c>
      <c r="R62" s="3">
        <f>IF(N62="Cancelled",0,H62*INDEX(Assumptions!$C$7:$C$12,MATCH(F62,Assumptions!$B$7:$B$12,0)))</f>
        <v>344.34400000000005</v>
      </c>
      <c r="S62" s="3">
        <f>IF(N62="Cancelled",Assumptions!$C$19,IF(N62="Returned",Assumptions!$C$17+O62*Assumptions!$C$18+Assumptions!$C$20,Assumptions!$C$17+O62*Assumptions!$C$18))</f>
        <v>45.7</v>
      </c>
      <c r="T62" s="3">
        <f>R62+S62</f>
        <v>390.04400000000004</v>
      </c>
      <c r="U62" s="7">
        <f>K62-T62</f>
        <v>139.82</v>
      </c>
      <c r="V62" s="7">
        <f>IF(U62&gt;0,U62,0)</f>
        <v>139.82</v>
      </c>
      <c r="W62" s="5">
        <f>IF(U62&gt;0,U62/H62,0)</f>
        <v>0.223326092512139</v>
      </c>
      <c r="X62" s="7">
        <f>IF(U62&lt;0,-U62,0)</f>
        <v>0</v>
      </c>
      <c r="Y62" s="5">
        <f>IF(U62&lt;0,-U62/H62,0)</f>
        <v>0</v>
      </c>
      <c r="Z62" s="2" t="str">
        <f>IF(U62&gt;=0,"Profitable",IF(N62="Cancelled","Order Cancelled",IF(N62="Returned","Order Returned",IF(AND(I62&gt;=0.15,U62&lt;0),"High Discount",IF(S62&gt;H62,"Delivery Cost Exceeded Order Value","Low Order Value / Thin Margin")))))</f>
        <v>Profitable</v>
      </c>
    </row>
    <row r="63" spans="1:26" x14ac:dyDescent="0.3">
      <c r="A63" s="2" t="s">
        <v>213</v>
      </c>
      <c r="B63" s="6">
        <v>46067.714583333298</v>
      </c>
      <c r="C63" s="2" t="s">
        <v>214</v>
      </c>
      <c r="D63" s="2" t="s">
        <v>87</v>
      </c>
      <c r="E63" s="2" t="s">
        <v>3</v>
      </c>
      <c r="F63" s="2" t="s">
        <v>9</v>
      </c>
      <c r="G63" s="2">
        <v>2</v>
      </c>
      <c r="H63" s="3">
        <v>861.03</v>
      </c>
      <c r="I63" s="4">
        <v>0.15</v>
      </c>
      <c r="J63" s="3">
        <v>59</v>
      </c>
      <c r="K63" s="7">
        <f t="shared" si="0"/>
        <v>790.87549999999999</v>
      </c>
      <c r="L63" s="2" t="s">
        <v>19</v>
      </c>
      <c r="M63" s="2" t="s">
        <v>200</v>
      </c>
      <c r="N63" s="2" t="s">
        <v>13</v>
      </c>
      <c r="O63" s="2">
        <v>92</v>
      </c>
      <c r="P63" s="2">
        <v>4</v>
      </c>
      <c r="Q63" s="2" t="str">
        <f>TEXT(tblOrders[[#This Row],[Order Date]],"mmm-yyyy")</f>
        <v>Feb-2026</v>
      </c>
      <c r="R63" s="3">
        <f>IF(N63="Cancelled",0,H63*INDEX(Assumptions!$C$7:$C$12,MATCH(F63,Assumptions!$B$7:$B$12,0)))</f>
        <v>387.46350000000001</v>
      </c>
      <c r="S63" s="3">
        <f>IF(N63="Cancelled",Assumptions!$C$19,IF(N63="Returned",Assumptions!$C$17+O63*Assumptions!$C$18+Assumptions!$C$20,Assumptions!$C$17+O63*Assumptions!$C$18))</f>
        <v>52.599999999999994</v>
      </c>
      <c r="T63" s="3">
        <f>R63+S63</f>
        <v>440.06349999999998</v>
      </c>
      <c r="U63" s="7">
        <f>K63-T63</f>
        <v>350.81200000000001</v>
      </c>
      <c r="V63" s="7">
        <f>IF(U63&gt;0,U63,0)</f>
        <v>350.81200000000001</v>
      </c>
      <c r="W63" s="5">
        <f>IF(U63&gt;0,U63/H63,0)</f>
        <v>0.40743295820122416</v>
      </c>
      <c r="X63" s="7">
        <f>IF(U63&lt;0,-U63,0)</f>
        <v>0</v>
      </c>
      <c r="Y63" s="5">
        <f>IF(U63&lt;0,-U63/H63,0)</f>
        <v>0</v>
      </c>
      <c r="Z63" s="2" t="str">
        <f>IF(U63&gt;=0,"Profitable",IF(N63="Cancelled","Order Cancelled",IF(N63="Returned","Order Returned",IF(AND(I63&gt;=0.15,U63&lt;0),"High Discount",IF(S63&gt;H63,"Delivery Cost Exceeded Order Value","Low Order Value / Thin Margin")))))</f>
        <v>Profitable</v>
      </c>
    </row>
    <row r="64" spans="1:26" x14ac:dyDescent="0.3">
      <c r="A64" s="2" t="s">
        <v>215</v>
      </c>
      <c r="B64" s="6">
        <v>46067.745833333298</v>
      </c>
      <c r="C64" s="2" t="s">
        <v>136</v>
      </c>
      <c r="D64" s="2" t="s">
        <v>131</v>
      </c>
      <c r="E64" s="2" t="s">
        <v>3</v>
      </c>
      <c r="F64" s="2" t="s">
        <v>9</v>
      </c>
      <c r="G64" s="2">
        <v>4</v>
      </c>
      <c r="H64" s="3">
        <v>512.22</v>
      </c>
      <c r="I64" s="4">
        <v>0</v>
      </c>
      <c r="J64" s="3">
        <v>59</v>
      </c>
      <c r="K64" s="7">
        <f t="shared" si="0"/>
        <v>571.22</v>
      </c>
      <c r="L64" s="2" t="s">
        <v>14</v>
      </c>
      <c r="M64" s="2" t="s">
        <v>88</v>
      </c>
      <c r="N64" s="2" t="s">
        <v>13</v>
      </c>
      <c r="O64" s="2">
        <v>35</v>
      </c>
      <c r="P64" s="2">
        <v>4</v>
      </c>
      <c r="Q64" s="2" t="str">
        <f>TEXT(tblOrders[[#This Row],[Order Date]],"mmm-yyyy")</f>
        <v>Feb-2026</v>
      </c>
      <c r="R64" s="3">
        <f>IF(N64="Cancelled",0,H64*INDEX(Assumptions!$C$7:$C$12,MATCH(F64,Assumptions!$B$7:$B$12,0)))</f>
        <v>230.49900000000002</v>
      </c>
      <c r="S64" s="3">
        <f>IF(N64="Cancelled",Assumptions!$C$19,IF(N64="Returned",Assumptions!$C$17+O64*Assumptions!$C$18+Assumptions!$C$20,Assumptions!$C$17+O64*Assumptions!$C$18))</f>
        <v>35.5</v>
      </c>
      <c r="T64" s="3">
        <f>R64+S64</f>
        <v>265.99900000000002</v>
      </c>
      <c r="U64" s="7">
        <f>K64-T64</f>
        <v>305.221</v>
      </c>
      <c r="V64" s="7">
        <f>IF(U64&gt;0,U64,0)</f>
        <v>305.221</v>
      </c>
      <c r="W64" s="5">
        <f>IF(U64&gt;0,U64/H64,0)</f>
        <v>0.59587872398578734</v>
      </c>
      <c r="X64" s="7">
        <f>IF(U64&lt;0,-U64,0)</f>
        <v>0</v>
      </c>
      <c r="Y64" s="5">
        <f>IF(U64&lt;0,-U64/H64,0)</f>
        <v>0</v>
      </c>
      <c r="Z64" s="2" t="str">
        <f>IF(U64&gt;=0,"Profitable",IF(N64="Cancelled","Order Cancelled",IF(N64="Returned","Order Returned",IF(AND(I64&gt;=0.15,U64&lt;0),"High Discount",IF(S64&gt;H64,"Delivery Cost Exceeded Order Value","Low Order Value / Thin Margin")))))</f>
        <v>Profitable</v>
      </c>
    </row>
    <row r="65" spans="1:26" x14ac:dyDescent="0.3">
      <c r="A65" s="2" t="s">
        <v>216</v>
      </c>
      <c r="B65" s="6">
        <v>46069.472916666702</v>
      </c>
      <c r="C65" s="2" t="s">
        <v>217</v>
      </c>
      <c r="D65" s="2" t="s">
        <v>131</v>
      </c>
      <c r="E65" s="2" t="s">
        <v>3</v>
      </c>
      <c r="F65" s="2" t="s">
        <v>11</v>
      </c>
      <c r="G65" s="2">
        <v>2</v>
      </c>
      <c r="H65" s="3">
        <v>5999.86</v>
      </c>
      <c r="I65" s="4">
        <v>0</v>
      </c>
      <c r="J65" s="3">
        <v>0</v>
      </c>
      <c r="K65" s="7">
        <f t="shared" si="0"/>
        <v>5999.86</v>
      </c>
      <c r="L65" s="2" t="s">
        <v>14</v>
      </c>
      <c r="M65" s="2" t="s">
        <v>82</v>
      </c>
      <c r="N65" s="2" t="s">
        <v>13</v>
      </c>
      <c r="O65" s="2">
        <v>30</v>
      </c>
      <c r="P65" s="2">
        <v>5</v>
      </c>
      <c r="Q65" s="2" t="str">
        <f>TEXT(tblOrders[[#This Row],[Order Date]],"mmm-yyyy")</f>
        <v>Feb-2026</v>
      </c>
      <c r="R65" s="3">
        <f>IF(N65="Cancelled",0,H65*INDEX(Assumptions!$C$7:$C$12,MATCH(F65,Assumptions!$B$7:$B$12,0)))</f>
        <v>3899.9090000000001</v>
      </c>
      <c r="S65" s="3">
        <f>IF(N65="Cancelled",Assumptions!$C$19,IF(N65="Returned",Assumptions!$C$17+O65*Assumptions!$C$18+Assumptions!$C$20,Assumptions!$C$17+O65*Assumptions!$C$18))</f>
        <v>34</v>
      </c>
      <c r="T65" s="3">
        <f>R65+S65</f>
        <v>3933.9090000000001</v>
      </c>
      <c r="U65" s="7">
        <f>K65-T65</f>
        <v>2065.9509999999996</v>
      </c>
      <c r="V65" s="7">
        <f>IF(U65&gt;0,U65,0)</f>
        <v>2065.9509999999996</v>
      </c>
      <c r="W65" s="5">
        <f>IF(U65&gt;0,U65/H65,0)</f>
        <v>0.34433320110802579</v>
      </c>
      <c r="X65" s="7">
        <f>IF(U65&lt;0,-U65,0)</f>
        <v>0</v>
      </c>
      <c r="Y65" s="5">
        <f>IF(U65&lt;0,-U65/H65,0)</f>
        <v>0</v>
      </c>
      <c r="Z65" s="2" t="str">
        <f>IF(U65&gt;=0,"Profitable",IF(N65="Cancelled","Order Cancelled",IF(N65="Returned","Order Returned",IF(AND(I65&gt;=0.15,U65&lt;0),"High Discount",IF(S65&gt;H65,"Delivery Cost Exceeded Order Value","Low Order Value / Thin Margin")))))</f>
        <v>Profitable</v>
      </c>
    </row>
    <row r="66" spans="1:26" x14ac:dyDescent="0.3">
      <c r="A66" s="2" t="s">
        <v>218</v>
      </c>
      <c r="B66" s="6">
        <v>46070.511805555601</v>
      </c>
      <c r="C66" s="2" t="s">
        <v>219</v>
      </c>
      <c r="D66" s="2" t="s">
        <v>116</v>
      </c>
      <c r="E66" s="2" t="s">
        <v>3</v>
      </c>
      <c r="F66" s="2" t="s">
        <v>8</v>
      </c>
      <c r="G66" s="2">
        <v>5</v>
      </c>
      <c r="H66" s="3">
        <v>2590.9499999999998</v>
      </c>
      <c r="I66" s="4">
        <v>0</v>
      </c>
      <c r="J66" s="3">
        <v>0</v>
      </c>
      <c r="K66" s="7">
        <f t="shared" ref="K66:K129" si="1">IF(N66="Cancelled",0,IF(N66="Returned",J66,H66*(1-I66)+J66))</f>
        <v>2590.9499999999998</v>
      </c>
      <c r="L66" s="2" t="s">
        <v>18</v>
      </c>
      <c r="M66" s="2" t="s">
        <v>113</v>
      </c>
      <c r="N66" s="2" t="s">
        <v>13</v>
      </c>
      <c r="O66" s="2">
        <v>88</v>
      </c>
      <c r="P66" s="2">
        <v>4</v>
      </c>
      <c r="Q66" s="2" t="str">
        <f>TEXT(tblOrders[[#This Row],[Order Date]],"mmm-yyyy")</f>
        <v>Feb-2026</v>
      </c>
      <c r="R66" s="3">
        <f>IF(N66="Cancelled",0,H66*INDEX(Assumptions!$C$7:$C$12,MATCH(F66,Assumptions!$B$7:$B$12,0)))</f>
        <v>1425.0225</v>
      </c>
      <c r="S66" s="3">
        <f>IF(N66="Cancelled",Assumptions!$C$19,IF(N66="Returned",Assumptions!$C$17+O66*Assumptions!$C$18+Assumptions!$C$20,Assumptions!$C$17+O66*Assumptions!$C$18))</f>
        <v>51.4</v>
      </c>
      <c r="T66" s="3">
        <f>R66+S66</f>
        <v>1476.4225000000001</v>
      </c>
      <c r="U66" s="7">
        <f>K66-T66</f>
        <v>1114.5274999999997</v>
      </c>
      <c r="V66" s="7">
        <f>IF(U66&gt;0,U66,0)</f>
        <v>1114.5274999999997</v>
      </c>
      <c r="W66" s="5">
        <f>IF(U66&gt;0,U66/H66,0)</f>
        <v>0.43016171674482323</v>
      </c>
      <c r="X66" s="7">
        <f>IF(U66&lt;0,-U66,0)</f>
        <v>0</v>
      </c>
      <c r="Y66" s="5">
        <f>IF(U66&lt;0,-U66/H66,0)</f>
        <v>0</v>
      </c>
      <c r="Z66" s="2" t="str">
        <f>IF(U66&gt;=0,"Profitable",IF(N66="Cancelled","Order Cancelled",IF(N66="Returned","Order Returned",IF(AND(I66&gt;=0.15,U66&lt;0),"High Discount",IF(S66&gt;H66,"Delivery Cost Exceeded Order Value","Low Order Value / Thin Margin")))))</f>
        <v>Profitable</v>
      </c>
    </row>
    <row r="67" spans="1:26" x14ac:dyDescent="0.3">
      <c r="A67" s="2" t="s">
        <v>220</v>
      </c>
      <c r="B67" s="6">
        <v>46070.779166666704</v>
      </c>
      <c r="C67" s="2" t="s">
        <v>221</v>
      </c>
      <c r="D67" s="2" t="s">
        <v>131</v>
      </c>
      <c r="E67" s="2" t="s">
        <v>5</v>
      </c>
      <c r="F67" s="2" t="s">
        <v>4</v>
      </c>
      <c r="G67" s="2">
        <v>1</v>
      </c>
      <c r="H67" s="3">
        <v>1151.07</v>
      </c>
      <c r="I67" s="4">
        <v>0.1</v>
      </c>
      <c r="J67" s="3">
        <v>0</v>
      </c>
      <c r="K67" s="7">
        <f t="shared" si="1"/>
        <v>1035.963</v>
      </c>
      <c r="L67" s="2" t="s">
        <v>14</v>
      </c>
      <c r="M67" s="2" t="s">
        <v>175</v>
      </c>
      <c r="N67" s="2" t="s">
        <v>13</v>
      </c>
      <c r="O67" s="2">
        <v>78</v>
      </c>
      <c r="P67" s="2">
        <v>3</v>
      </c>
      <c r="Q67" s="2" t="str">
        <f>TEXT(tblOrders[[#This Row],[Order Date]],"mmm-yyyy")</f>
        <v>Feb-2026</v>
      </c>
      <c r="R67" s="3">
        <f>IF(N67="Cancelled",0,H67*INDEX(Assumptions!$C$7:$C$12,MATCH(F67,Assumptions!$B$7:$B$12,0)))</f>
        <v>897.83460000000002</v>
      </c>
      <c r="S67" s="3">
        <f>IF(N67="Cancelled",Assumptions!$C$19,IF(N67="Returned",Assumptions!$C$17+O67*Assumptions!$C$18+Assumptions!$C$20,Assumptions!$C$17+O67*Assumptions!$C$18))</f>
        <v>48.4</v>
      </c>
      <c r="T67" s="3">
        <f>R67+S67</f>
        <v>946.2346</v>
      </c>
      <c r="U67" s="7">
        <f>K67-T67</f>
        <v>89.728399999999965</v>
      </c>
      <c r="V67" s="7">
        <f>IF(U67&gt;0,U67,0)</f>
        <v>89.728399999999965</v>
      </c>
      <c r="W67" s="5">
        <f>IF(U67&gt;0,U67/H67,0)</f>
        <v>7.7952166245319546E-2</v>
      </c>
      <c r="X67" s="7">
        <f>IF(U67&lt;0,-U67,0)</f>
        <v>0</v>
      </c>
      <c r="Y67" s="5">
        <f>IF(U67&lt;0,-U67/H67,0)</f>
        <v>0</v>
      </c>
      <c r="Z67" s="2" t="str">
        <f>IF(U67&gt;=0,"Profitable",IF(N67="Cancelled","Order Cancelled",IF(N67="Returned","Order Returned",IF(AND(I67&gt;=0.15,U67&lt;0),"High Discount",IF(S67&gt;H67,"Delivery Cost Exceeded Order Value","Low Order Value / Thin Margin")))))</f>
        <v>Profitable</v>
      </c>
    </row>
    <row r="68" spans="1:26" x14ac:dyDescent="0.3">
      <c r="A68" s="2" t="s">
        <v>222</v>
      </c>
      <c r="B68" s="6">
        <v>46071.3527777778</v>
      </c>
      <c r="C68" s="2" t="s">
        <v>223</v>
      </c>
      <c r="D68" s="2" t="s">
        <v>69</v>
      </c>
      <c r="E68" s="2" t="s">
        <v>3</v>
      </c>
      <c r="F68" s="2" t="s">
        <v>6</v>
      </c>
      <c r="G68" s="2">
        <v>6</v>
      </c>
      <c r="H68" s="3">
        <v>3695.26</v>
      </c>
      <c r="I68" s="4">
        <v>0.1</v>
      </c>
      <c r="J68" s="3">
        <v>0</v>
      </c>
      <c r="K68" s="7">
        <f t="shared" si="1"/>
        <v>0</v>
      </c>
      <c r="L68" s="2" t="s">
        <v>19</v>
      </c>
      <c r="M68" s="2" t="s">
        <v>113</v>
      </c>
      <c r="N68" s="2" t="s">
        <v>15</v>
      </c>
      <c r="O68" s="2"/>
      <c r="P68" s="2"/>
      <c r="Q68" s="2" t="str">
        <f>TEXT(tblOrders[[#This Row],[Order Date]],"mmm-yyyy")</f>
        <v>Feb-2026</v>
      </c>
      <c r="R68" s="3">
        <f>IF(N68="Cancelled",0,H68*INDEX(Assumptions!$C$7:$C$12,MATCH(F68,Assumptions!$B$7:$B$12,0)))</f>
        <v>0</v>
      </c>
      <c r="S68" s="3">
        <f>IF(N68="Cancelled",Assumptions!$C$19,IF(N68="Returned",Assumptions!$C$17+O68*Assumptions!$C$18+Assumptions!$C$20,Assumptions!$C$17+O68*Assumptions!$C$18))</f>
        <v>15</v>
      </c>
      <c r="T68" s="3">
        <f>R68+S68</f>
        <v>15</v>
      </c>
      <c r="U68" s="7">
        <f>K68-T68</f>
        <v>-15</v>
      </c>
      <c r="V68" s="7">
        <f>IF(U68&gt;0,U68,0)</f>
        <v>0</v>
      </c>
      <c r="W68" s="5">
        <f>IF(U68&gt;0,U68/H68,0)</f>
        <v>0</v>
      </c>
      <c r="X68" s="7">
        <f>IF(U68&lt;0,-U68,0)</f>
        <v>15</v>
      </c>
      <c r="Y68" s="5">
        <f>IF(U68&lt;0,-U68/H68,0)</f>
        <v>4.0592542879256122E-3</v>
      </c>
      <c r="Z68" s="2" t="str">
        <f>IF(U68&gt;=0,"Profitable",IF(N68="Cancelled","Order Cancelled",IF(N68="Returned","Order Returned",IF(AND(I68&gt;=0.15,U68&lt;0),"High Discount",IF(S68&gt;H68,"Delivery Cost Exceeded Order Value","Low Order Value / Thin Margin")))))</f>
        <v>Order Cancelled</v>
      </c>
    </row>
    <row r="69" spans="1:26" x14ac:dyDescent="0.3">
      <c r="A69" s="2" t="s">
        <v>224</v>
      </c>
      <c r="B69" s="6">
        <v>46071.943055555603</v>
      </c>
      <c r="C69" s="2" t="s">
        <v>225</v>
      </c>
      <c r="D69" s="2" t="s">
        <v>77</v>
      </c>
      <c r="E69" s="2" t="s">
        <v>5</v>
      </c>
      <c r="F69" s="2" t="s">
        <v>8</v>
      </c>
      <c r="G69" s="2">
        <v>1</v>
      </c>
      <c r="H69" s="3">
        <v>1322.12</v>
      </c>
      <c r="I69" s="4">
        <v>0.2</v>
      </c>
      <c r="J69" s="3">
        <v>0</v>
      </c>
      <c r="K69" s="7">
        <f t="shared" si="1"/>
        <v>1057.6959999999999</v>
      </c>
      <c r="L69" s="2" t="s">
        <v>19</v>
      </c>
      <c r="M69" s="2" t="s">
        <v>132</v>
      </c>
      <c r="N69" s="2" t="s">
        <v>13</v>
      </c>
      <c r="O69" s="2">
        <v>82</v>
      </c>
      <c r="P69" s="2">
        <v>4</v>
      </c>
      <c r="Q69" s="2" t="str">
        <f>TEXT(tblOrders[[#This Row],[Order Date]],"mmm-yyyy")</f>
        <v>Feb-2026</v>
      </c>
      <c r="R69" s="3">
        <f>IF(N69="Cancelled",0,H69*INDEX(Assumptions!$C$7:$C$12,MATCH(F69,Assumptions!$B$7:$B$12,0)))</f>
        <v>727.16600000000005</v>
      </c>
      <c r="S69" s="3">
        <f>IF(N69="Cancelled",Assumptions!$C$19,IF(N69="Returned",Assumptions!$C$17+O69*Assumptions!$C$18+Assumptions!$C$20,Assumptions!$C$17+O69*Assumptions!$C$18))</f>
        <v>49.599999999999994</v>
      </c>
      <c r="T69" s="3">
        <f>R69+S69</f>
        <v>776.76600000000008</v>
      </c>
      <c r="U69" s="7">
        <f>K69-T69</f>
        <v>280.92999999999984</v>
      </c>
      <c r="V69" s="7">
        <f>IF(U69&gt;0,U69,0)</f>
        <v>280.92999999999984</v>
      </c>
      <c r="W69" s="5">
        <f>IF(U69&gt;0,U69/H69,0)</f>
        <v>0.21248449459958238</v>
      </c>
      <c r="X69" s="7">
        <f>IF(U69&lt;0,-U69,0)</f>
        <v>0</v>
      </c>
      <c r="Y69" s="5">
        <f>IF(U69&lt;0,-U69/H69,0)</f>
        <v>0</v>
      </c>
      <c r="Z69" s="2" t="str">
        <f>IF(U69&gt;=0,"Profitable",IF(N69="Cancelled","Order Cancelled",IF(N69="Returned","Order Returned",IF(AND(I69&gt;=0.15,U69&lt;0),"High Discount",IF(S69&gt;H69,"Delivery Cost Exceeded Order Value","Low Order Value / Thin Margin")))))</f>
        <v>Profitable</v>
      </c>
    </row>
    <row r="70" spans="1:26" x14ac:dyDescent="0.3">
      <c r="A70" s="2" t="s">
        <v>226</v>
      </c>
      <c r="B70" s="6">
        <v>46072.546527777798</v>
      </c>
      <c r="C70" s="2" t="s">
        <v>68</v>
      </c>
      <c r="D70" s="2" t="s">
        <v>73</v>
      </c>
      <c r="E70" s="2" t="s">
        <v>5</v>
      </c>
      <c r="F70" s="2" t="s">
        <v>9</v>
      </c>
      <c r="G70" s="2">
        <v>6</v>
      </c>
      <c r="H70" s="3">
        <v>248.12</v>
      </c>
      <c r="I70" s="4">
        <v>0</v>
      </c>
      <c r="J70" s="3">
        <v>59</v>
      </c>
      <c r="K70" s="7">
        <f t="shared" si="1"/>
        <v>307.12</v>
      </c>
      <c r="L70" s="2" t="s">
        <v>18</v>
      </c>
      <c r="M70" s="2" t="s">
        <v>70</v>
      </c>
      <c r="N70" s="2" t="s">
        <v>13</v>
      </c>
      <c r="O70" s="2">
        <v>85</v>
      </c>
      <c r="P70" s="2">
        <v>5</v>
      </c>
      <c r="Q70" s="2" t="str">
        <f>TEXT(tblOrders[[#This Row],[Order Date]],"mmm-yyyy")</f>
        <v>Feb-2026</v>
      </c>
      <c r="R70" s="3">
        <f>IF(N70="Cancelled",0,H70*INDEX(Assumptions!$C$7:$C$12,MATCH(F70,Assumptions!$B$7:$B$12,0)))</f>
        <v>111.65400000000001</v>
      </c>
      <c r="S70" s="3">
        <f>IF(N70="Cancelled",Assumptions!$C$19,IF(N70="Returned",Assumptions!$C$17+O70*Assumptions!$C$18+Assumptions!$C$20,Assumptions!$C$17+O70*Assumptions!$C$18))</f>
        <v>50.5</v>
      </c>
      <c r="T70" s="3">
        <f>R70+S70</f>
        <v>162.154</v>
      </c>
      <c r="U70" s="7">
        <f>K70-T70</f>
        <v>144.96600000000001</v>
      </c>
      <c r="V70" s="7">
        <f>IF(U70&gt;0,U70,0)</f>
        <v>144.96600000000001</v>
      </c>
      <c r="W70" s="5">
        <f>IF(U70&gt;0,U70/H70,0)</f>
        <v>0.58425761728196035</v>
      </c>
      <c r="X70" s="7">
        <f>IF(U70&lt;0,-U70,0)</f>
        <v>0</v>
      </c>
      <c r="Y70" s="5">
        <f>IF(U70&lt;0,-U70/H70,0)</f>
        <v>0</v>
      </c>
      <c r="Z70" s="2" t="str">
        <f>IF(U70&gt;=0,"Profitable",IF(N70="Cancelled","Order Cancelled",IF(N70="Returned","Order Returned",IF(AND(I70&gt;=0.15,U70&lt;0),"High Discount",IF(S70&gt;H70,"Delivery Cost Exceeded Order Value","Low Order Value / Thin Margin")))))</f>
        <v>Profitable</v>
      </c>
    </row>
    <row r="71" spans="1:26" x14ac:dyDescent="0.3">
      <c r="A71" s="2" t="s">
        <v>227</v>
      </c>
      <c r="B71" s="6">
        <v>46074.4506944444</v>
      </c>
      <c r="C71" s="2" t="s">
        <v>228</v>
      </c>
      <c r="D71" s="2" t="s">
        <v>73</v>
      </c>
      <c r="E71" s="2" t="s">
        <v>3</v>
      </c>
      <c r="F71" s="2" t="s">
        <v>9</v>
      </c>
      <c r="G71" s="2">
        <v>1</v>
      </c>
      <c r="H71" s="3">
        <v>231.5</v>
      </c>
      <c r="I71" s="4">
        <v>0.05</v>
      </c>
      <c r="J71" s="3">
        <v>49</v>
      </c>
      <c r="K71" s="7">
        <f t="shared" si="1"/>
        <v>268.92499999999995</v>
      </c>
      <c r="L71" s="2" t="s">
        <v>19</v>
      </c>
      <c r="M71" s="2" t="s">
        <v>107</v>
      </c>
      <c r="N71" s="2" t="s">
        <v>13</v>
      </c>
      <c r="O71" s="2">
        <v>63</v>
      </c>
      <c r="P71" s="2">
        <v>3</v>
      </c>
      <c r="Q71" s="2" t="str">
        <f>TEXT(tblOrders[[#This Row],[Order Date]],"mmm-yyyy")</f>
        <v>Feb-2026</v>
      </c>
      <c r="R71" s="3">
        <f>IF(N71="Cancelled",0,H71*INDEX(Assumptions!$C$7:$C$12,MATCH(F71,Assumptions!$B$7:$B$12,0)))</f>
        <v>104.175</v>
      </c>
      <c r="S71" s="3">
        <f>IF(N71="Cancelled",Assumptions!$C$19,IF(N71="Returned",Assumptions!$C$17+O71*Assumptions!$C$18+Assumptions!$C$20,Assumptions!$C$17+O71*Assumptions!$C$18))</f>
        <v>43.9</v>
      </c>
      <c r="T71" s="3">
        <f>R71+S71</f>
        <v>148.07499999999999</v>
      </c>
      <c r="U71" s="7">
        <f>K71-T71</f>
        <v>120.84999999999997</v>
      </c>
      <c r="V71" s="7">
        <f>IF(U71&gt;0,U71,0)</f>
        <v>120.84999999999997</v>
      </c>
      <c r="W71" s="5">
        <f>IF(U71&gt;0,U71/H71,0)</f>
        <v>0.52203023758099343</v>
      </c>
      <c r="X71" s="7">
        <f>IF(U71&lt;0,-U71,0)</f>
        <v>0</v>
      </c>
      <c r="Y71" s="5">
        <f>IF(U71&lt;0,-U71/H71,0)</f>
        <v>0</v>
      </c>
      <c r="Z71" s="2" t="str">
        <f>IF(U71&gt;=0,"Profitable",IF(N71="Cancelled","Order Cancelled",IF(N71="Returned","Order Returned",IF(AND(I71&gt;=0.15,U71&lt;0),"High Discount",IF(S71&gt;H71,"Delivery Cost Exceeded Order Value","Low Order Value / Thin Margin")))))</f>
        <v>Profitable</v>
      </c>
    </row>
    <row r="72" spans="1:26" x14ac:dyDescent="0.3">
      <c r="A72" s="2" t="s">
        <v>229</v>
      </c>
      <c r="B72" s="6">
        <v>46074.875694444498</v>
      </c>
      <c r="C72" s="2" t="s">
        <v>230</v>
      </c>
      <c r="D72" s="2" t="s">
        <v>81</v>
      </c>
      <c r="E72" s="2" t="s">
        <v>3</v>
      </c>
      <c r="F72" s="2" t="s">
        <v>9</v>
      </c>
      <c r="G72" s="2">
        <v>4</v>
      </c>
      <c r="H72" s="3">
        <v>635.57000000000005</v>
      </c>
      <c r="I72" s="4">
        <v>0.1</v>
      </c>
      <c r="J72" s="3">
        <v>39</v>
      </c>
      <c r="K72" s="7">
        <f t="shared" si="1"/>
        <v>611.01300000000003</v>
      </c>
      <c r="L72" s="2" t="s">
        <v>19</v>
      </c>
      <c r="M72" s="2" t="s">
        <v>143</v>
      </c>
      <c r="N72" s="2" t="s">
        <v>13</v>
      </c>
      <c r="O72" s="2">
        <v>65</v>
      </c>
      <c r="P72" s="2">
        <v>3</v>
      </c>
      <c r="Q72" s="2" t="str">
        <f>TEXT(tblOrders[[#This Row],[Order Date]],"mmm-yyyy")</f>
        <v>Feb-2026</v>
      </c>
      <c r="R72" s="3">
        <f>IF(N72="Cancelled",0,H72*INDEX(Assumptions!$C$7:$C$12,MATCH(F72,Assumptions!$B$7:$B$12,0)))</f>
        <v>286.00650000000002</v>
      </c>
      <c r="S72" s="3">
        <f>IF(N72="Cancelled",Assumptions!$C$19,IF(N72="Returned",Assumptions!$C$17+O72*Assumptions!$C$18+Assumptions!$C$20,Assumptions!$C$17+O72*Assumptions!$C$18))</f>
        <v>44.5</v>
      </c>
      <c r="T72" s="3">
        <f>R72+S72</f>
        <v>330.50650000000002</v>
      </c>
      <c r="U72" s="7">
        <f>K72-T72</f>
        <v>280.50650000000002</v>
      </c>
      <c r="V72" s="7">
        <f>IF(U72&gt;0,U72,0)</f>
        <v>280.50650000000002</v>
      </c>
      <c r="W72" s="5">
        <f>IF(U72&gt;0,U72/H72,0)</f>
        <v>0.44134635052000565</v>
      </c>
      <c r="X72" s="7">
        <f>IF(U72&lt;0,-U72,0)</f>
        <v>0</v>
      </c>
      <c r="Y72" s="5">
        <f>IF(U72&lt;0,-U72/H72,0)</f>
        <v>0</v>
      </c>
      <c r="Z72" s="2" t="str">
        <f>IF(U72&gt;=0,"Profitable",IF(N72="Cancelled","Order Cancelled",IF(N72="Returned","Order Returned",IF(AND(I72&gt;=0.15,U72&lt;0),"High Discount",IF(S72&gt;H72,"Delivery Cost Exceeded Order Value","Low Order Value / Thin Margin")))))</f>
        <v>Profitable</v>
      </c>
    </row>
    <row r="73" spans="1:26" x14ac:dyDescent="0.3">
      <c r="A73" s="2" t="s">
        <v>231</v>
      </c>
      <c r="B73" s="6">
        <v>46074.898611111101</v>
      </c>
      <c r="C73" s="2" t="s">
        <v>232</v>
      </c>
      <c r="D73" s="2" t="s">
        <v>116</v>
      </c>
      <c r="E73" s="2" t="s">
        <v>3</v>
      </c>
      <c r="F73" s="2" t="s">
        <v>6</v>
      </c>
      <c r="G73" s="2">
        <v>3</v>
      </c>
      <c r="H73" s="3">
        <v>2749.28</v>
      </c>
      <c r="I73" s="4">
        <v>0.1</v>
      </c>
      <c r="J73" s="3">
        <v>0</v>
      </c>
      <c r="K73" s="7">
        <f t="shared" si="1"/>
        <v>2474.3520000000003</v>
      </c>
      <c r="L73" s="2" t="s">
        <v>16</v>
      </c>
      <c r="M73" s="2" t="s">
        <v>94</v>
      </c>
      <c r="N73" s="2" t="s">
        <v>13</v>
      </c>
      <c r="O73" s="2">
        <v>85</v>
      </c>
      <c r="P73" s="2">
        <v>3</v>
      </c>
      <c r="Q73" s="2" t="str">
        <f>TEXT(tblOrders[[#This Row],[Order Date]],"mmm-yyyy")</f>
        <v>Feb-2026</v>
      </c>
      <c r="R73" s="3">
        <f>IF(N73="Cancelled",0,H73*INDEX(Assumptions!$C$7:$C$12,MATCH(F73,Assumptions!$B$7:$B$12,0)))</f>
        <v>2419.3664000000003</v>
      </c>
      <c r="S73" s="3">
        <f>IF(N73="Cancelled",Assumptions!$C$19,IF(N73="Returned",Assumptions!$C$17+O73*Assumptions!$C$18+Assumptions!$C$20,Assumptions!$C$17+O73*Assumptions!$C$18))</f>
        <v>50.5</v>
      </c>
      <c r="T73" s="3">
        <f>R73+S73</f>
        <v>2469.8664000000003</v>
      </c>
      <c r="U73" s="7">
        <f>K73-T73</f>
        <v>4.4855999999999767</v>
      </c>
      <c r="V73" s="7">
        <f>IF(U73&gt;0,U73,0)</f>
        <v>4.4855999999999767</v>
      </c>
      <c r="W73" s="5">
        <f>IF(U73&gt;0,U73/H73,0)</f>
        <v>1.6315544433451582E-3</v>
      </c>
      <c r="X73" s="7">
        <f>IF(U73&lt;0,-U73,0)</f>
        <v>0</v>
      </c>
      <c r="Y73" s="5">
        <f>IF(U73&lt;0,-U73/H73,0)</f>
        <v>0</v>
      </c>
      <c r="Z73" s="2" t="str">
        <f>IF(U73&gt;=0,"Profitable",IF(N73="Cancelled","Order Cancelled",IF(N73="Returned","Order Returned",IF(AND(I73&gt;=0.15,U73&lt;0),"High Discount",IF(S73&gt;H73,"Delivery Cost Exceeded Order Value","Low Order Value / Thin Margin")))))</f>
        <v>Profitable</v>
      </c>
    </row>
    <row r="74" spans="1:26" x14ac:dyDescent="0.3">
      <c r="A74" s="2" t="s">
        <v>233</v>
      </c>
      <c r="B74" s="6">
        <v>46074.9152777778</v>
      </c>
      <c r="C74" s="2" t="s">
        <v>234</v>
      </c>
      <c r="D74" s="2" t="s">
        <v>116</v>
      </c>
      <c r="E74" s="2" t="s">
        <v>3</v>
      </c>
      <c r="F74" s="2" t="s">
        <v>8</v>
      </c>
      <c r="G74" s="2">
        <v>2</v>
      </c>
      <c r="H74" s="3">
        <v>1124.82</v>
      </c>
      <c r="I74" s="4">
        <v>0.15</v>
      </c>
      <c r="J74" s="3">
        <v>0</v>
      </c>
      <c r="K74" s="7">
        <f t="shared" si="1"/>
        <v>956.09699999999987</v>
      </c>
      <c r="L74" s="2" t="s">
        <v>16</v>
      </c>
      <c r="M74" s="2" t="s">
        <v>78</v>
      </c>
      <c r="N74" s="2" t="s">
        <v>13</v>
      </c>
      <c r="O74" s="2">
        <v>53</v>
      </c>
      <c r="P74" s="2">
        <v>3</v>
      </c>
      <c r="Q74" s="2" t="str">
        <f>TEXT(tblOrders[[#This Row],[Order Date]],"mmm-yyyy")</f>
        <v>Feb-2026</v>
      </c>
      <c r="R74" s="3">
        <f>IF(N74="Cancelled",0,H74*INDEX(Assumptions!$C$7:$C$12,MATCH(F74,Assumptions!$B$7:$B$12,0)))</f>
        <v>618.65100000000007</v>
      </c>
      <c r="S74" s="3">
        <f>IF(N74="Cancelled",Assumptions!$C$19,IF(N74="Returned",Assumptions!$C$17+O74*Assumptions!$C$18+Assumptions!$C$20,Assumptions!$C$17+O74*Assumptions!$C$18))</f>
        <v>40.9</v>
      </c>
      <c r="T74" s="3">
        <f>R74+S74</f>
        <v>659.55100000000004</v>
      </c>
      <c r="U74" s="7">
        <f>K74-T74</f>
        <v>296.54599999999982</v>
      </c>
      <c r="V74" s="7">
        <f>IF(U74&gt;0,U74,0)</f>
        <v>296.54599999999982</v>
      </c>
      <c r="W74" s="5">
        <f>IF(U74&gt;0,U74/H74,0)</f>
        <v>0.26363862662470428</v>
      </c>
      <c r="X74" s="7">
        <f>IF(U74&lt;0,-U74,0)</f>
        <v>0</v>
      </c>
      <c r="Y74" s="5">
        <f>IF(U74&lt;0,-U74/H74,0)</f>
        <v>0</v>
      </c>
      <c r="Z74" s="2" t="str">
        <f>IF(U74&gt;=0,"Profitable",IF(N74="Cancelled","Order Cancelled",IF(N74="Returned","Order Returned",IF(AND(I74&gt;=0.15,U74&lt;0),"High Discount",IF(S74&gt;H74,"Delivery Cost Exceeded Order Value","Low Order Value / Thin Margin")))))</f>
        <v>Profitable</v>
      </c>
    </row>
    <row r="75" spans="1:26" x14ac:dyDescent="0.3">
      <c r="A75" s="2" t="s">
        <v>235</v>
      </c>
      <c r="B75" s="6">
        <v>46075.8930555556</v>
      </c>
      <c r="C75" s="2" t="s">
        <v>236</v>
      </c>
      <c r="D75" s="2" t="s">
        <v>69</v>
      </c>
      <c r="E75" s="2" t="s">
        <v>5</v>
      </c>
      <c r="F75" s="2" t="s">
        <v>6</v>
      </c>
      <c r="G75" s="2">
        <v>6</v>
      </c>
      <c r="H75" s="3">
        <v>1077.3499999999999</v>
      </c>
      <c r="I75" s="4">
        <v>0.2</v>
      </c>
      <c r="J75" s="3">
        <v>0</v>
      </c>
      <c r="K75" s="7">
        <f t="shared" si="1"/>
        <v>861.88</v>
      </c>
      <c r="L75" s="2" t="s">
        <v>19</v>
      </c>
      <c r="M75" s="2" t="s">
        <v>175</v>
      </c>
      <c r="N75" s="2" t="s">
        <v>13</v>
      </c>
      <c r="O75" s="2">
        <v>63</v>
      </c>
      <c r="P75" s="2">
        <v>4</v>
      </c>
      <c r="Q75" s="2" t="str">
        <f>TEXT(tblOrders[[#This Row],[Order Date]],"mmm-yyyy")</f>
        <v>Feb-2026</v>
      </c>
      <c r="R75" s="3">
        <f>IF(N75="Cancelled",0,H75*INDEX(Assumptions!$C$7:$C$12,MATCH(F75,Assumptions!$B$7:$B$12,0)))</f>
        <v>948.06799999999987</v>
      </c>
      <c r="S75" s="3">
        <f>IF(N75="Cancelled",Assumptions!$C$19,IF(N75="Returned",Assumptions!$C$17+O75*Assumptions!$C$18+Assumptions!$C$20,Assumptions!$C$17+O75*Assumptions!$C$18))</f>
        <v>43.9</v>
      </c>
      <c r="T75" s="3">
        <f>R75+S75</f>
        <v>991.96799999999985</v>
      </c>
      <c r="U75" s="7">
        <f>K75-T75</f>
        <v>-130.08799999999985</v>
      </c>
      <c r="V75" s="7">
        <f>IF(U75&gt;0,U75,0)</f>
        <v>0</v>
      </c>
      <c r="W75" s="5">
        <f>IF(U75&gt;0,U75/H75,0)</f>
        <v>0</v>
      </c>
      <c r="X75" s="7">
        <f>IF(U75&lt;0,-U75,0)</f>
        <v>130.08799999999985</v>
      </c>
      <c r="Y75" s="5">
        <f>IF(U75&lt;0,-U75/H75,0)</f>
        <v>0.12074813199053219</v>
      </c>
      <c r="Z75" s="2" t="str">
        <f>IF(U75&gt;=0,"Profitable",IF(N75="Cancelled","Order Cancelled",IF(N75="Returned","Order Returned",IF(AND(I75&gt;=0.15,U75&lt;0),"High Discount",IF(S75&gt;H75,"Delivery Cost Exceeded Order Value","Low Order Value / Thin Margin")))))</f>
        <v>High Discount</v>
      </c>
    </row>
    <row r="76" spans="1:26" x14ac:dyDescent="0.3">
      <c r="A76" s="2" t="s">
        <v>237</v>
      </c>
      <c r="B76" s="6">
        <v>46078.711111111101</v>
      </c>
      <c r="C76" s="2" t="s">
        <v>238</v>
      </c>
      <c r="D76" s="2" t="s">
        <v>87</v>
      </c>
      <c r="E76" s="2" t="s">
        <v>3</v>
      </c>
      <c r="F76" s="2" t="s">
        <v>4</v>
      </c>
      <c r="G76" s="2">
        <v>1</v>
      </c>
      <c r="H76" s="3">
        <v>718.22</v>
      </c>
      <c r="I76" s="4">
        <v>0</v>
      </c>
      <c r="J76" s="3">
        <v>29</v>
      </c>
      <c r="K76" s="7">
        <f t="shared" si="1"/>
        <v>747.22</v>
      </c>
      <c r="L76" s="2" t="s">
        <v>19</v>
      </c>
      <c r="M76" s="2" t="s">
        <v>74</v>
      </c>
      <c r="N76" s="2" t="s">
        <v>13</v>
      </c>
      <c r="O76" s="2">
        <v>70</v>
      </c>
      <c r="P76" s="2">
        <v>3</v>
      </c>
      <c r="Q76" s="2" t="str">
        <f>TEXT(tblOrders[[#This Row],[Order Date]],"mmm-yyyy")</f>
        <v>Feb-2026</v>
      </c>
      <c r="R76" s="3">
        <f>IF(N76="Cancelled",0,H76*INDEX(Assumptions!$C$7:$C$12,MATCH(F76,Assumptions!$B$7:$B$12,0)))</f>
        <v>560.21160000000009</v>
      </c>
      <c r="S76" s="3">
        <f>IF(N76="Cancelled",Assumptions!$C$19,IF(N76="Returned",Assumptions!$C$17+O76*Assumptions!$C$18+Assumptions!$C$20,Assumptions!$C$17+O76*Assumptions!$C$18))</f>
        <v>46</v>
      </c>
      <c r="T76" s="3">
        <f>R76+S76</f>
        <v>606.21160000000009</v>
      </c>
      <c r="U76" s="7">
        <f>K76-T76</f>
        <v>141.00839999999994</v>
      </c>
      <c r="V76" s="7">
        <f>IF(U76&gt;0,U76,0)</f>
        <v>141.00839999999994</v>
      </c>
      <c r="W76" s="5">
        <f>IF(U76&gt;0,U76/H76,0)</f>
        <v>0.19633037230932018</v>
      </c>
      <c r="X76" s="7">
        <f>IF(U76&lt;0,-U76,0)</f>
        <v>0</v>
      </c>
      <c r="Y76" s="5">
        <f>IF(U76&lt;0,-U76/H76,0)</f>
        <v>0</v>
      </c>
      <c r="Z76" s="2" t="str">
        <f>IF(U76&gt;=0,"Profitable",IF(N76="Cancelled","Order Cancelled",IF(N76="Returned","Order Returned",IF(AND(I76&gt;=0.15,U76&lt;0),"High Discount",IF(S76&gt;H76,"Delivery Cost Exceeded Order Value","Low Order Value / Thin Margin")))))</f>
        <v>Profitable</v>
      </c>
    </row>
    <row r="77" spans="1:26" x14ac:dyDescent="0.3">
      <c r="A77" s="2" t="s">
        <v>239</v>
      </c>
      <c r="B77" s="6">
        <v>46079.5756944444</v>
      </c>
      <c r="C77" s="2" t="s">
        <v>240</v>
      </c>
      <c r="D77" s="2" t="s">
        <v>69</v>
      </c>
      <c r="E77" s="2" t="s">
        <v>3</v>
      </c>
      <c r="F77" s="2" t="s">
        <v>4</v>
      </c>
      <c r="G77" s="2">
        <v>1</v>
      </c>
      <c r="H77" s="3">
        <v>707.14</v>
      </c>
      <c r="I77" s="4">
        <v>0</v>
      </c>
      <c r="J77" s="3">
        <v>49</v>
      </c>
      <c r="K77" s="7">
        <f t="shared" si="1"/>
        <v>756.14</v>
      </c>
      <c r="L77" s="2" t="s">
        <v>18</v>
      </c>
      <c r="M77" s="2" t="s">
        <v>110</v>
      </c>
      <c r="N77" s="2" t="s">
        <v>13</v>
      </c>
      <c r="O77" s="2">
        <v>36</v>
      </c>
      <c r="P77" s="2">
        <v>3</v>
      </c>
      <c r="Q77" s="2" t="str">
        <f>TEXT(tblOrders[[#This Row],[Order Date]],"mmm-yyyy")</f>
        <v>Feb-2026</v>
      </c>
      <c r="R77" s="3">
        <f>IF(N77="Cancelled",0,H77*INDEX(Assumptions!$C$7:$C$12,MATCH(F77,Assumptions!$B$7:$B$12,0)))</f>
        <v>551.56920000000002</v>
      </c>
      <c r="S77" s="3">
        <f>IF(N77="Cancelled",Assumptions!$C$19,IF(N77="Returned",Assumptions!$C$17+O77*Assumptions!$C$18+Assumptions!$C$20,Assumptions!$C$17+O77*Assumptions!$C$18))</f>
        <v>35.799999999999997</v>
      </c>
      <c r="T77" s="3">
        <f>R77+S77</f>
        <v>587.36919999999998</v>
      </c>
      <c r="U77" s="7">
        <f>K77-T77</f>
        <v>168.77080000000001</v>
      </c>
      <c r="V77" s="7">
        <f>IF(U77&gt;0,U77,0)</f>
        <v>168.77080000000001</v>
      </c>
      <c r="W77" s="5">
        <f>IF(U77&gt;0,U77/H77,0)</f>
        <v>0.23866674208784683</v>
      </c>
      <c r="X77" s="7">
        <f>IF(U77&lt;0,-U77,0)</f>
        <v>0</v>
      </c>
      <c r="Y77" s="5">
        <f>IF(U77&lt;0,-U77/H77,0)</f>
        <v>0</v>
      </c>
      <c r="Z77" s="2" t="str">
        <f>IF(U77&gt;=0,"Profitable",IF(N77="Cancelled","Order Cancelled",IF(N77="Returned","Order Returned",IF(AND(I77&gt;=0.15,U77&lt;0),"High Discount",IF(S77&gt;H77,"Delivery Cost Exceeded Order Value","Low Order Value / Thin Margin")))))</f>
        <v>Profitable</v>
      </c>
    </row>
    <row r="78" spans="1:26" x14ac:dyDescent="0.3">
      <c r="A78" s="2" t="s">
        <v>241</v>
      </c>
      <c r="B78" s="6">
        <v>46080.875</v>
      </c>
      <c r="C78" s="2" t="s">
        <v>240</v>
      </c>
      <c r="D78" s="2" t="s">
        <v>69</v>
      </c>
      <c r="E78" s="2" t="s">
        <v>5</v>
      </c>
      <c r="F78" s="2" t="s">
        <v>9</v>
      </c>
      <c r="G78" s="2">
        <v>4</v>
      </c>
      <c r="H78" s="3">
        <v>638.79999999999995</v>
      </c>
      <c r="I78" s="4">
        <v>0.1</v>
      </c>
      <c r="J78" s="3">
        <v>59</v>
      </c>
      <c r="K78" s="7">
        <f t="shared" si="1"/>
        <v>633.91999999999996</v>
      </c>
      <c r="L78" s="2" t="s">
        <v>19</v>
      </c>
      <c r="M78" s="2" t="s">
        <v>146</v>
      </c>
      <c r="N78" s="2" t="s">
        <v>13</v>
      </c>
      <c r="O78" s="2">
        <v>49</v>
      </c>
      <c r="P78" s="2">
        <v>4</v>
      </c>
      <c r="Q78" s="2" t="str">
        <f>TEXT(tblOrders[[#This Row],[Order Date]],"mmm-yyyy")</f>
        <v>Feb-2026</v>
      </c>
      <c r="R78" s="3">
        <f>IF(N78="Cancelled",0,H78*INDEX(Assumptions!$C$7:$C$12,MATCH(F78,Assumptions!$B$7:$B$12,0)))</f>
        <v>287.45999999999998</v>
      </c>
      <c r="S78" s="3">
        <f>IF(N78="Cancelled",Assumptions!$C$19,IF(N78="Returned",Assumptions!$C$17+O78*Assumptions!$C$18+Assumptions!$C$20,Assumptions!$C$17+O78*Assumptions!$C$18))</f>
        <v>39.700000000000003</v>
      </c>
      <c r="T78" s="3">
        <f>R78+S78</f>
        <v>327.15999999999997</v>
      </c>
      <c r="U78" s="7">
        <f>K78-T78</f>
        <v>306.76</v>
      </c>
      <c r="V78" s="7">
        <f>IF(U78&gt;0,U78,0)</f>
        <v>306.76</v>
      </c>
      <c r="W78" s="5">
        <f>IF(U78&gt;0,U78/H78,0)</f>
        <v>0.48021289918597371</v>
      </c>
      <c r="X78" s="7">
        <f>IF(U78&lt;0,-U78,0)</f>
        <v>0</v>
      </c>
      <c r="Y78" s="5">
        <f>IF(U78&lt;0,-U78/H78,0)</f>
        <v>0</v>
      </c>
      <c r="Z78" s="2" t="str">
        <f>IF(U78&gt;=0,"Profitable",IF(N78="Cancelled","Order Cancelled",IF(N78="Returned","Order Returned",IF(AND(I78&gt;=0.15,U78&lt;0),"High Discount",IF(S78&gt;H78,"Delivery Cost Exceeded Order Value","Low Order Value / Thin Margin")))))</f>
        <v>Profitable</v>
      </c>
    </row>
    <row r="79" spans="1:26" x14ac:dyDescent="0.3">
      <c r="A79" s="2" t="s">
        <v>242</v>
      </c>
      <c r="B79" s="6">
        <v>46081.5493055556</v>
      </c>
      <c r="C79" s="2" t="s">
        <v>243</v>
      </c>
      <c r="D79" s="2" t="s">
        <v>73</v>
      </c>
      <c r="E79" s="2" t="s">
        <v>5</v>
      </c>
      <c r="F79" s="2" t="s">
        <v>6</v>
      </c>
      <c r="G79" s="2">
        <v>2</v>
      </c>
      <c r="H79" s="3">
        <v>4695.22</v>
      </c>
      <c r="I79" s="4">
        <v>0</v>
      </c>
      <c r="J79" s="3">
        <v>0</v>
      </c>
      <c r="K79" s="7">
        <f t="shared" si="1"/>
        <v>4695.22</v>
      </c>
      <c r="L79" s="2" t="s">
        <v>18</v>
      </c>
      <c r="M79" s="2" t="s">
        <v>140</v>
      </c>
      <c r="N79" s="2" t="s">
        <v>13</v>
      </c>
      <c r="O79" s="2">
        <v>34</v>
      </c>
      <c r="P79" s="2">
        <v>5</v>
      </c>
      <c r="Q79" s="2" t="str">
        <f>TEXT(tblOrders[[#This Row],[Order Date]],"mmm-yyyy")</f>
        <v>Feb-2026</v>
      </c>
      <c r="R79" s="3">
        <f>IF(N79="Cancelled",0,H79*INDEX(Assumptions!$C$7:$C$12,MATCH(F79,Assumptions!$B$7:$B$12,0)))</f>
        <v>4131.7936</v>
      </c>
      <c r="S79" s="3">
        <f>IF(N79="Cancelled",Assumptions!$C$19,IF(N79="Returned",Assumptions!$C$17+O79*Assumptions!$C$18+Assumptions!$C$20,Assumptions!$C$17+O79*Assumptions!$C$18))</f>
        <v>35.200000000000003</v>
      </c>
      <c r="T79" s="3">
        <f>R79+S79</f>
        <v>4166.9935999999998</v>
      </c>
      <c r="U79" s="7">
        <f>K79-T79</f>
        <v>528.22640000000047</v>
      </c>
      <c r="V79" s="7">
        <f>IF(U79&gt;0,U79,0)</f>
        <v>528.22640000000047</v>
      </c>
      <c r="W79" s="5">
        <f>IF(U79&gt;0,U79/H79,0)</f>
        <v>0.11250301370329834</v>
      </c>
      <c r="X79" s="7">
        <f>IF(U79&lt;0,-U79,0)</f>
        <v>0</v>
      </c>
      <c r="Y79" s="5">
        <f>IF(U79&lt;0,-U79/H79,0)</f>
        <v>0</v>
      </c>
      <c r="Z79" s="2" t="str">
        <f>IF(U79&gt;=0,"Profitable",IF(N79="Cancelled","Order Cancelled",IF(N79="Returned","Order Returned",IF(AND(I79&gt;=0.15,U79&lt;0),"High Discount",IF(S79&gt;H79,"Delivery Cost Exceeded Order Value","Low Order Value / Thin Margin")))))</f>
        <v>Profitable</v>
      </c>
    </row>
    <row r="80" spans="1:26" x14ac:dyDescent="0.3">
      <c r="A80" s="2" t="s">
        <v>244</v>
      </c>
      <c r="B80" s="6">
        <v>46081.876388888901</v>
      </c>
      <c r="C80" s="2" t="s">
        <v>240</v>
      </c>
      <c r="D80" s="2" t="s">
        <v>81</v>
      </c>
      <c r="E80" s="2" t="s">
        <v>3</v>
      </c>
      <c r="F80" s="2" t="s">
        <v>10</v>
      </c>
      <c r="G80" s="2">
        <v>1</v>
      </c>
      <c r="H80" s="3">
        <v>379.6</v>
      </c>
      <c r="I80" s="4">
        <v>0.1</v>
      </c>
      <c r="J80" s="3">
        <v>49</v>
      </c>
      <c r="K80" s="7">
        <f t="shared" si="1"/>
        <v>390.64000000000004</v>
      </c>
      <c r="L80" s="2" t="s">
        <v>16</v>
      </c>
      <c r="M80" s="2" t="s">
        <v>107</v>
      </c>
      <c r="N80" s="2" t="s">
        <v>13</v>
      </c>
      <c r="O80" s="2">
        <v>68</v>
      </c>
      <c r="P80" s="2">
        <v>5</v>
      </c>
      <c r="Q80" s="2" t="str">
        <f>TEXT(tblOrders[[#This Row],[Order Date]],"mmm-yyyy")</f>
        <v>Feb-2026</v>
      </c>
      <c r="R80" s="3">
        <f>IF(N80="Cancelled",0,H80*INDEX(Assumptions!$C$7:$C$12,MATCH(F80,Assumptions!$B$7:$B$12,0)))</f>
        <v>265.72000000000003</v>
      </c>
      <c r="S80" s="3">
        <f>IF(N80="Cancelled",Assumptions!$C$19,IF(N80="Returned",Assumptions!$C$17+O80*Assumptions!$C$18+Assumptions!$C$20,Assumptions!$C$17+O80*Assumptions!$C$18))</f>
        <v>45.4</v>
      </c>
      <c r="T80" s="3">
        <f>R80+S80</f>
        <v>311.12</v>
      </c>
      <c r="U80" s="7">
        <f>K80-T80</f>
        <v>79.520000000000039</v>
      </c>
      <c r="V80" s="7">
        <f>IF(U80&gt;0,U80,0)</f>
        <v>79.520000000000039</v>
      </c>
      <c r="W80" s="5">
        <f>IF(U80&gt;0,U80/H80,0)</f>
        <v>0.20948366701791368</v>
      </c>
      <c r="X80" s="7">
        <f>IF(U80&lt;0,-U80,0)</f>
        <v>0</v>
      </c>
      <c r="Y80" s="5">
        <f>IF(U80&lt;0,-U80/H80,0)</f>
        <v>0</v>
      </c>
      <c r="Z80" s="2" t="str">
        <f>IF(U80&gt;=0,"Profitable",IF(N80="Cancelled","Order Cancelled",IF(N80="Returned","Order Returned",IF(AND(I80&gt;=0.15,U80&lt;0),"High Discount",IF(S80&gt;H80,"Delivery Cost Exceeded Order Value","Low Order Value / Thin Margin")))))</f>
        <v>Profitable</v>
      </c>
    </row>
    <row r="81" spans="1:26" x14ac:dyDescent="0.3">
      <c r="A81" s="2" t="s">
        <v>245</v>
      </c>
      <c r="B81" s="6">
        <v>46082.5756944444</v>
      </c>
      <c r="C81" s="2" t="s">
        <v>246</v>
      </c>
      <c r="D81" s="2" t="s">
        <v>87</v>
      </c>
      <c r="E81" s="2" t="s">
        <v>5</v>
      </c>
      <c r="F81" s="2" t="s">
        <v>4</v>
      </c>
      <c r="G81" s="2">
        <v>1</v>
      </c>
      <c r="H81" s="3">
        <v>441.14</v>
      </c>
      <c r="I81" s="4">
        <v>0</v>
      </c>
      <c r="J81" s="3">
        <v>39</v>
      </c>
      <c r="K81" s="7">
        <f t="shared" si="1"/>
        <v>480.14</v>
      </c>
      <c r="L81" s="2" t="s">
        <v>18</v>
      </c>
      <c r="M81" s="2" t="s">
        <v>132</v>
      </c>
      <c r="N81" s="2" t="s">
        <v>13</v>
      </c>
      <c r="O81" s="2">
        <v>32</v>
      </c>
      <c r="P81" s="2">
        <v>5</v>
      </c>
      <c r="Q81" s="2" t="str">
        <f>TEXT(tblOrders[[#This Row],[Order Date]],"mmm-yyyy")</f>
        <v>Mar-2026</v>
      </c>
      <c r="R81" s="3">
        <f>IF(N81="Cancelled",0,H81*INDEX(Assumptions!$C$7:$C$12,MATCH(F81,Assumptions!$B$7:$B$12,0)))</f>
        <v>344.08920000000001</v>
      </c>
      <c r="S81" s="3">
        <f>IF(N81="Cancelled",Assumptions!$C$19,IF(N81="Returned",Assumptions!$C$17+O81*Assumptions!$C$18+Assumptions!$C$20,Assumptions!$C$17+O81*Assumptions!$C$18))</f>
        <v>34.6</v>
      </c>
      <c r="T81" s="3">
        <f>R81+S81</f>
        <v>378.68920000000003</v>
      </c>
      <c r="U81" s="7">
        <f>K81-T81</f>
        <v>101.45079999999996</v>
      </c>
      <c r="V81" s="7">
        <f>IF(U81&gt;0,U81,0)</f>
        <v>101.45079999999996</v>
      </c>
      <c r="W81" s="5">
        <f>IF(U81&gt;0,U81/H81,0)</f>
        <v>0.22997415786371664</v>
      </c>
      <c r="X81" s="7">
        <f>IF(U81&lt;0,-U81,0)</f>
        <v>0</v>
      </c>
      <c r="Y81" s="5">
        <f>IF(U81&lt;0,-U81/H81,0)</f>
        <v>0</v>
      </c>
      <c r="Z81" s="2" t="str">
        <f>IF(U81&gt;=0,"Profitable",IF(N81="Cancelled","Order Cancelled",IF(N81="Returned","Order Returned",IF(AND(I81&gt;=0.15,U81&lt;0),"High Discount",IF(S81&gt;H81,"Delivery Cost Exceeded Order Value","Low Order Value / Thin Margin")))))</f>
        <v>Profitable</v>
      </c>
    </row>
    <row r="82" spans="1:26" x14ac:dyDescent="0.3">
      <c r="A82" s="2" t="s">
        <v>247</v>
      </c>
      <c r="B82" s="6">
        <v>46083.586805555598</v>
      </c>
      <c r="C82" s="2" t="s">
        <v>248</v>
      </c>
      <c r="D82" s="2" t="s">
        <v>81</v>
      </c>
      <c r="E82" s="2" t="s">
        <v>3</v>
      </c>
      <c r="F82" s="2" t="s">
        <v>6</v>
      </c>
      <c r="G82" s="2">
        <v>1</v>
      </c>
      <c r="H82" s="3">
        <v>12716.3</v>
      </c>
      <c r="I82" s="4">
        <v>0.15</v>
      </c>
      <c r="J82" s="3">
        <v>0</v>
      </c>
      <c r="K82" s="7">
        <f t="shared" si="1"/>
        <v>10808.855</v>
      </c>
      <c r="L82" s="2" t="s">
        <v>18</v>
      </c>
      <c r="M82" s="2" t="s">
        <v>70</v>
      </c>
      <c r="N82" s="2" t="s">
        <v>13</v>
      </c>
      <c r="O82" s="2">
        <v>35</v>
      </c>
      <c r="P82" s="2">
        <v>3</v>
      </c>
      <c r="Q82" s="2" t="str">
        <f>TEXT(tblOrders[[#This Row],[Order Date]],"mmm-yyyy")</f>
        <v>Mar-2026</v>
      </c>
      <c r="R82" s="3">
        <f>IF(N82="Cancelled",0,H82*INDEX(Assumptions!$C$7:$C$12,MATCH(F82,Assumptions!$B$7:$B$12,0)))</f>
        <v>11190.343999999999</v>
      </c>
      <c r="S82" s="3">
        <f>IF(N82="Cancelled",Assumptions!$C$19,IF(N82="Returned",Assumptions!$C$17+O82*Assumptions!$C$18+Assumptions!$C$20,Assumptions!$C$17+O82*Assumptions!$C$18))</f>
        <v>35.5</v>
      </c>
      <c r="T82" s="3">
        <f>R82+S82</f>
        <v>11225.843999999999</v>
      </c>
      <c r="U82" s="7">
        <f>K82-T82</f>
        <v>-416.98899999999958</v>
      </c>
      <c r="V82" s="7">
        <f>IF(U82&gt;0,U82,0)</f>
        <v>0</v>
      </c>
      <c r="W82" s="5">
        <f>IF(U82&gt;0,U82/H82,0)</f>
        <v>0</v>
      </c>
      <c r="X82" s="7">
        <f>IF(U82&lt;0,-U82,0)</f>
        <v>416.98899999999958</v>
      </c>
      <c r="Y82" s="5">
        <f>IF(U82&lt;0,-U82/H82,0)</f>
        <v>3.2791692552078797E-2</v>
      </c>
      <c r="Z82" s="2" t="str">
        <f>IF(U82&gt;=0,"Profitable",IF(N82="Cancelled","Order Cancelled",IF(N82="Returned","Order Returned",IF(AND(I82&gt;=0.15,U82&lt;0),"High Discount",IF(S82&gt;H82,"Delivery Cost Exceeded Order Value","Low Order Value / Thin Margin")))))</f>
        <v>High Discount</v>
      </c>
    </row>
    <row r="83" spans="1:26" x14ac:dyDescent="0.3">
      <c r="A83" s="2" t="s">
        <v>249</v>
      </c>
      <c r="B83" s="6">
        <v>46083.722222222197</v>
      </c>
      <c r="C83" s="2" t="s">
        <v>250</v>
      </c>
      <c r="D83" s="2" t="s">
        <v>69</v>
      </c>
      <c r="E83" s="2" t="s">
        <v>3</v>
      </c>
      <c r="F83" s="2" t="s">
        <v>4</v>
      </c>
      <c r="G83" s="2">
        <v>2</v>
      </c>
      <c r="H83" s="3">
        <v>928.8</v>
      </c>
      <c r="I83" s="4">
        <v>0.1</v>
      </c>
      <c r="J83" s="3">
        <v>29</v>
      </c>
      <c r="K83" s="7">
        <f t="shared" si="1"/>
        <v>864.92</v>
      </c>
      <c r="L83" s="2" t="s">
        <v>14</v>
      </c>
      <c r="M83" s="2" t="s">
        <v>200</v>
      </c>
      <c r="N83" s="2" t="s">
        <v>13</v>
      </c>
      <c r="O83" s="2">
        <v>64</v>
      </c>
      <c r="P83" s="2">
        <v>5</v>
      </c>
      <c r="Q83" s="2" t="str">
        <f>TEXT(tblOrders[[#This Row],[Order Date]],"mmm-yyyy")</f>
        <v>Mar-2026</v>
      </c>
      <c r="R83" s="3">
        <f>IF(N83="Cancelled",0,H83*INDEX(Assumptions!$C$7:$C$12,MATCH(F83,Assumptions!$B$7:$B$12,0)))</f>
        <v>724.46399999999994</v>
      </c>
      <c r="S83" s="3">
        <f>IF(N83="Cancelled",Assumptions!$C$19,IF(N83="Returned",Assumptions!$C$17+O83*Assumptions!$C$18+Assumptions!$C$20,Assumptions!$C$17+O83*Assumptions!$C$18))</f>
        <v>44.2</v>
      </c>
      <c r="T83" s="3">
        <f>R83+S83</f>
        <v>768.66399999999999</v>
      </c>
      <c r="U83" s="7">
        <f>K83-T83</f>
        <v>96.255999999999972</v>
      </c>
      <c r="V83" s="7">
        <f>IF(U83&gt;0,U83,0)</f>
        <v>96.255999999999972</v>
      </c>
      <c r="W83" s="5">
        <f>IF(U83&gt;0,U83/H83,0)</f>
        <v>0.10363479758828593</v>
      </c>
      <c r="X83" s="7">
        <f>IF(U83&lt;0,-U83,0)</f>
        <v>0</v>
      </c>
      <c r="Y83" s="5">
        <f>IF(U83&lt;0,-U83/H83,0)</f>
        <v>0</v>
      </c>
      <c r="Z83" s="2" t="str">
        <f>IF(U83&gt;=0,"Profitable",IF(N83="Cancelled","Order Cancelled",IF(N83="Returned","Order Returned",IF(AND(I83&gt;=0.15,U83&lt;0),"High Discount",IF(S83&gt;H83,"Delivery Cost Exceeded Order Value","Low Order Value / Thin Margin")))))</f>
        <v>Profitable</v>
      </c>
    </row>
    <row r="84" spans="1:26" x14ac:dyDescent="0.3">
      <c r="A84" s="2" t="s">
        <v>251</v>
      </c>
      <c r="B84" s="6">
        <v>46085.554166666698</v>
      </c>
      <c r="C84" s="2" t="s">
        <v>252</v>
      </c>
      <c r="D84" s="2" t="s">
        <v>73</v>
      </c>
      <c r="E84" s="2" t="s">
        <v>5</v>
      </c>
      <c r="F84" s="2" t="s">
        <v>4</v>
      </c>
      <c r="G84" s="2">
        <v>6</v>
      </c>
      <c r="H84" s="3">
        <v>467.64</v>
      </c>
      <c r="I84" s="4">
        <v>0.2</v>
      </c>
      <c r="J84" s="3">
        <v>29</v>
      </c>
      <c r="K84" s="7">
        <f t="shared" si="1"/>
        <v>0</v>
      </c>
      <c r="L84" s="2" t="s">
        <v>18</v>
      </c>
      <c r="M84" s="2" t="s">
        <v>110</v>
      </c>
      <c r="N84" s="2" t="s">
        <v>15</v>
      </c>
      <c r="O84" s="2"/>
      <c r="P84" s="2"/>
      <c r="Q84" s="2" t="str">
        <f>TEXT(tblOrders[[#This Row],[Order Date]],"mmm-yyyy")</f>
        <v>Mar-2026</v>
      </c>
      <c r="R84" s="3">
        <f>IF(N84="Cancelled",0,H84*INDEX(Assumptions!$C$7:$C$12,MATCH(F84,Assumptions!$B$7:$B$12,0)))</f>
        <v>0</v>
      </c>
      <c r="S84" s="3">
        <f>IF(N84="Cancelled",Assumptions!$C$19,IF(N84="Returned",Assumptions!$C$17+O84*Assumptions!$C$18+Assumptions!$C$20,Assumptions!$C$17+O84*Assumptions!$C$18))</f>
        <v>15</v>
      </c>
      <c r="T84" s="3">
        <f>R84+S84</f>
        <v>15</v>
      </c>
      <c r="U84" s="7">
        <f>K84-T84</f>
        <v>-15</v>
      </c>
      <c r="V84" s="7">
        <f>IF(U84&gt;0,U84,0)</f>
        <v>0</v>
      </c>
      <c r="W84" s="5">
        <f>IF(U84&gt;0,U84/H84,0)</f>
        <v>0</v>
      </c>
      <c r="X84" s="7">
        <f>IF(U84&lt;0,-U84,0)</f>
        <v>15</v>
      </c>
      <c r="Y84" s="5">
        <f>IF(U84&lt;0,-U84/H84,0)</f>
        <v>3.2075955863484731E-2</v>
      </c>
      <c r="Z84" s="2" t="str">
        <f>IF(U84&gt;=0,"Profitable",IF(N84="Cancelled","Order Cancelled",IF(N84="Returned","Order Returned",IF(AND(I84&gt;=0.15,U84&lt;0),"High Discount",IF(S84&gt;H84,"Delivery Cost Exceeded Order Value","Low Order Value / Thin Margin")))))</f>
        <v>Order Cancelled</v>
      </c>
    </row>
    <row r="85" spans="1:26" x14ac:dyDescent="0.3">
      <c r="A85" s="2" t="s">
        <v>253</v>
      </c>
      <c r="B85" s="6">
        <v>46085.818055555603</v>
      </c>
      <c r="C85" s="2" t="s">
        <v>234</v>
      </c>
      <c r="D85" s="2" t="s">
        <v>77</v>
      </c>
      <c r="E85" s="2" t="s">
        <v>3</v>
      </c>
      <c r="F85" s="2" t="s">
        <v>9</v>
      </c>
      <c r="G85" s="2">
        <v>2</v>
      </c>
      <c r="H85" s="3">
        <v>541.66</v>
      </c>
      <c r="I85" s="4">
        <v>0.2</v>
      </c>
      <c r="J85" s="3">
        <v>49</v>
      </c>
      <c r="K85" s="7">
        <f t="shared" si="1"/>
        <v>482.32799999999997</v>
      </c>
      <c r="L85" s="2" t="s">
        <v>19</v>
      </c>
      <c r="M85" s="2" t="s">
        <v>78</v>
      </c>
      <c r="N85" s="2" t="s">
        <v>13</v>
      </c>
      <c r="O85" s="2">
        <v>63</v>
      </c>
      <c r="P85" s="2">
        <v>4</v>
      </c>
      <c r="Q85" s="2" t="str">
        <f>TEXT(tblOrders[[#This Row],[Order Date]],"mmm-yyyy")</f>
        <v>Mar-2026</v>
      </c>
      <c r="R85" s="3">
        <f>IF(N85="Cancelled",0,H85*INDEX(Assumptions!$C$7:$C$12,MATCH(F85,Assumptions!$B$7:$B$12,0)))</f>
        <v>243.74699999999999</v>
      </c>
      <c r="S85" s="3">
        <f>IF(N85="Cancelled",Assumptions!$C$19,IF(N85="Returned",Assumptions!$C$17+O85*Assumptions!$C$18+Assumptions!$C$20,Assumptions!$C$17+O85*Assumptions!$C$18))</f>
        <v>43.9</v>
      </c>
      <c r="T85" s="3">
        <f>R85+S85</f>
        <v>287.64699999999999</v>
      </c>
      <c r="U85" s="7">
        <f>K85-T85</f>
        <v>194.68099999999998</v>
      </c>
      <c r="V85" s="7">
        <f>IF(U85&gt;0,U85,0)</f>
        <v>194.68099999999998</v>
      </c>
      <c r="W85" s="5">
        <f>IF(U85&gt;0,U85/H85,0)</f>
        <v>0.35941550049846765</v>
      </c>
      <c r="X85" s="7">
        <f>IF(U85&lt;0,-U85,0)</f>
        <v>0</v>
      </c>
      <c r="Y85" s="5">
        <f>IF(U85&lt;0,-U85/H85,0)</f>
        <v>0</v>
      </c>
      <c r="Z85" s="2" t="str">
        <f>IF(U85&gt;=0,"Profitable",IF(N85="Cancelled","Order Cancelled",IF(N85="Returned","Order Returned",IF(AND(I85&gt;=0.15,U85&lt;0),"High Discount",IF(S85&gt;H85,"Delivery Cost Exceeded Order Value","Low Order Value / Thin Margin")))))</f>
        <v>Profitable</v>
      </c>
    </row>
    <row r="86" spans="1:26" x14ac:dyDescent="0.3">
      <c r="A86" s="2" t="s">
        <v>254</v>
      </c>
      <c r="B86" s="6">
        <v>46085.854166666701</v>
      </c>
      <c r="C86" s="2" t="s">
        <v>255</v>
      </c>
      <c r="D86" s="2" t="s">
        <v>87</v>
      </c>
      <c r="E86" s="2" t="s">
        <v>3</v>
      </c>
      <c r="F86" s="2" t="s">
        <v>10</v>
      </c>
      <c r="G86" s="2">
        <v>1</v>
      </c>
      <c r="H86" s="3">
        <v>1015.76</v>
      </c>
      <c r="I86" s="4">
        <v>0</v>
      </c>
      <c r="J86" s="3">
        <v>0</v>
      </c>
      <c r="K86" s="7">
        <f t="shared" si="1"/>
        <v>1015.76</v>
      </c>
      <c r="L86" s="2" t="s">
        <v>19</v>
      </c>
      <c r="M86" s="2" t="s">
        <v>110</v>
      </c>
      <c r="N86" s="2" t="s">
        <v>13</v>
      </c>
      <c r="O86" s="2">
        <v>24</v>
      </c>
      <c r="P86" s="2">
        <v>5</v>
      </c>
      <c r="Q86" s="2" t="str">
        <f>TEXT(tblOrders[[#This Row],[Order Date]],"mmm-yyyy")</f>
        <v>Mar-2026</v>
      </c>
      <c r="R86" s="3">
        <f>IF(N86="Cancelled",0,H86*INDEX(Assumptions!$C$7:$C$12,MATCH(F86,Assumptions!$B$7:$B$12,0)))</f>
        <v>711.03199999999993</v>
      </c>
      <c r="S86" s="3">
        <f>IF(N86="Cancelled",Assumptions!$C$19,IF(N86="Returned",Assumptions!$C$17+O86*Assumptions!$C$18+Assumptions!$C$20,Assumptions!$C$17+O86*Assumptions!$C$18))</f>
        <v>32.200000000000003</v>
      </c>
      <c r="T86" s="3">
        <f>R86+S86</f>
        <v>743.23199999999997</v>
      </c>
      <c r="U86" s="7">
        <f>K86-T86</f>
        <v>272.52800000000002</v>
      </c>
      <c r="V86" s="7">
        <f>IF(U86&gt;0,U86,0)</f>
        <v>272.52800000000002</v>
      </c>
      <c r="W86" s="5">
        <f>IF(U86&gt;0,U86/H86,0)</f>
        <v>0.26829959833031425</v>
      </c>
      <c r="X86" s="7">
        <f>IF(U86&lt;0,-U86,0)</f>
        <v>0</v>
      </c>
      <c r="Y86" s="5">
        <f>IF(U86&lt;0,-U86/H86,0)</f>
        <v>0</v>
      </c>
      <c r="Z86" s="2" t="str">
        <f>IF(U86&gt;=0,"Profitable",IF(N86="Cancelled","Order Cancelled",IF(N86="Returned","Order Returned",IF(AND(I86&gt;=0.15,U86&lt;0),"High Discount",IF(S86&gt;H86,"Delivery Cost Exceeded Order Value","Low Order Value / Thin Margin")))))</f>
        <v>Profitable</v>
      </c>
    </row>
    <row r="87" spans="1:26" x14ac:dyDescent="0.3">
      <c r="A87" s="2" t="s">
        <v>256</v>
      </c>
      <c r="B87" s="6">
        <v>46086.815972222197</v>
      </c>
      <c r="C87" s="2" t="s">
        <v>257</v>
      </c>
      <c r="D87" s="2" t="s">
        <v>97</v>
      </c>
      <c r="E87" s="2" t="s">
        <v>5</v>
      </c>
      <c r="F87" s="2" t="s">
        <v>8</v>
      </c>
      <c r="G87" s="2">
        <v>4</v>
      </c>
      <c r="H87" s="3">
        <v>3621.94</v>
      </c>
      <c r="I87" s="4">
        <v>0.05</v>
      </c>
      <c r="J87" s="3">
        <v>0</v>
      </c>
      <c r="K87" s="7">
        <f t="shared" si="1"/>
        <v>3440.8429999999998</v>
      </c>
      <c r="L87" s="2" t="s">
        <v>18</v>
      </c>
      <c r="M87" s="2" t="s">
        <v>140</v>
      </c>
      <c r="N87" s="2" t="s">
        <v>13</v>
      </c>
      <c r="O87" s="2">
        <v>35</v>
      </c>
      <c r="P87" s="2">
        <v>5</v>
      </c>
      <c r="Q87" s="2" t="str">
        <f>TEXT(tblOrders[[#This Row],[Order Date]],"mmm-yyyy")</f>
        <v>Mar-2026</v>
      </c>
      <c r="R87" s="3">
        <f>IF(N87="Cancelled",0,H87*INDEX(Assumptions!$C$7:$C$12,MATCH(F87,Assumptions!$B$7:$B$12,0)))</f>
        <v>1992.0670000000002</v>
      </c>
      <c r="S87" s="3">
        <f>IF(N87="Cancelled",Assumptions!$C$19,IF(N87="Returned",Assumptions!$C$17+O87*Assumptions!$C$18+Assumptions!$C$20,Assumptions!$C$17+O87*Assumptions!$C$18))</f>
        <v>35.5</v>
      </c>
      <c r="T87" s="3">
        <f>R87+S87</f>
        <v>2027.5670000000002</v>
      </c>
      <c r="U87" s="7">
        <f>K87-T87</f>
        <v>1413.2759999999996</v>
      </c>
      <c r="V87" s="7">
        <f>IF(U87&gt;0,U87,0)</f>
        <v>1413.2759999999996</v>
      </c>
      <c r="W87" s="5">
        <f>IF(U87&gt;0,U87/H87,0)</f>
        <v>0.39019862283748474</v>
      </c>
      <c r="X87" s="7">
        <f>IF(U87&lt;0,-U87,0)</f>
        <v>0</v>
      </c>
      <c r="Y87" s="5">
        <f>IF(U87&lt;0,-U87/H87,0)</f>
        <v>0</v>
      </c>
      <c r="Z87" s="2" t="str">
        <f>IF(U87&gt;=0,"Profitable",IF(N87="Cancelled","Order Cancelled",IF(N87="Returned","Order Returned",IF(AND(I87&gt;=0.15,U87&lt;0),"High Discount",IF(S87&gt;H87,"Delivery Cost Exceeded Order Value","Low Order Value / Thin Margin")))))</f>
        <v>Profitable</v>
      </c>
    </row>
    <row r="88" spans="1:26" x14ac:dyDescent="0.3">
      <c r="A88" s="2" t="s">
        <v>258</v>
      </c>
      <c r="B88" s="6">
        <v>46086.914583333302</v>
      </c>
      <c r="C88" s="2" t="s">
        <v>128</v>
      </c>
      <c r="D88" s="2" t="s">
        <v>97</v>
      </c>
      <c r="E88" s="2" t="s">
        <v>3</v>
      </c>
      <c r="F88" s="2" t="s">
        <v>4</v>
      </c>
      <c r="G88" s="2">
        <v>5</v>
      </c>
      <c r="H88" s="3">
        <v>907.18</v>
      </c>
      <c r="I88" s="4">
        <v>0</v>
      </c>
      <c r="J88" s="3">
        <v>39</v>
      </c>
      <c r="K88" s="7">
        <f t="shared" si="1"/>
        <v>39</v>
      </c>
      <c r="L88" s="2" t="s">
        <v>19</v>
      </c>
      <c r="M88" s="2" t="s">
        <v>70</v>
      </c>
      <c r="N88" s="2" t="s">
        <v>17</v>
      </c>
      <c r="O88" s="2">
        <v>77</v>
      </c>
      <c r="P88" s="2">
        <v>2</v>
      </c>
      <c r="Q88" s="2" t="str">
        <f>TEXT(tblOrders[[#This Row],[Order Date]],"mmm-yyyy")</f>
        <v>Mar-2026</v>
      </c>
      <c r="R88" s="3">
        <f>IF(N88="Cancelled",0,H88*INDEX(Assumptions!$C$7:$C$12,MATCH(F88,Assumptions!$B$7:$B$12,0)))</f>
        <v>707.60040000000004</v>
      </c>
      <c r="S88" s="3">
        <f>IF(N88="Cancelled",Assumptions!$C$19,IF(N88="Returned",Assumptions!$C$17+O88*Assumptions!$C$18+Assumptions!$C$20,Assumptions!$C$17+O88*Assumptions!$C$18))</f>
        <v>68.099999999999994</v>
      </c>
      <c r="T88" s="3">
        <f>R88+S88</f>
        <v>775.70040000000006</v>
      </c>
      <c r="U88" s="7">
        <f>K88-T88</f>
        <v>-736.70040000000006</v>
      </c>
      <c r="V88" s="7">
        <f>IF(U88&gt;0,U88,0)</f>
        <v>0</v>
      </c>
      <c r="W88" s="5">
        <f>IF(U88&gt;0,U88/H88,0)</f>
        <v>0</v>
      </c>
      <c r="X88" s="7">
        <f>IF(U88&lt;0,-U88,0)</f>
        <v>736.70040000000006</v>
      </c>
      <c r="Y88" s="5">
        <f>IF(U88&lt;0,-U88/H88,0)</f>
        <v>0.81207742675103078</v>
      </c>
      <c r="Z88" s="2" t="str">
        <f>IF(U88&gt;=0,"Profitable",IF(N88="Cancelled","Order Cancelled",IF(N88="Returned","Order Returned",IF(AND(I88&gt;=0.15,U88&lt;0),"High Discount",IF(S88&gt;H88,"Delivery Cost Exceeded Order Value","Low Order Value / Thin Margin")))))</f>
        <v>Order Returned</v>
      </c>
    </row>
    <row r="89" spans="1:26" x14ac:dyDescent="0.3">
      <c r="A89" s="2" t="s">
        <v>259</v>
      </c>
      <c r="B89" s="6">
        <v>46088.75</v>
      </c>
      <c r="C89" s="2" t="s">
        <v>260</v>
      </c>
      <c r="D89" s="2" t="s">
        <v>73</v>
      </c>
      <c r="E89" s="2" t="s">
        <v>3</v>
      </c>
      <c r="F89" s="2" t="s">
        <v>10</v>
      </c>
      <c r="G89" s="2">
        <v>3</v>
      </c>
      <c r="H89" s="3">
        <v>1042.21</v>
      </c>
      <c r="I89" s="4">
        <v>0</v>
      </c>
      <c r="J89" s="3">
        <v>0</v>
      </c>
      <c r="K89" s="7">
        <f t="shared" si="1"/>
        <v>1042.21</v>
      </c>
      <c r="L89" s="2" t="s">
        <v>14</v>
      </c>
      <c r="M89" s="2" t="s">
        <v>70</v>
      </c>
      <c r="N89" s="2" t="s">
        <v>13</v>
      </c>
      <c r="O89" s="2">
        <v>62</v>
      </c>
      <c r="P89" s="2">
        <v>5</v>
      </c>
      <c r="Q89" s="2" t="str">
        <f>TEXT(tblOrders[[#This Row],[Order Date]],"mmm-yyyy")</f>
        <v>Mar-2026</v>
      </c>
      <c r="R89" s="3">
        <f>IF(N89="Cancelled",0,H89*INDEX(Assumptions!$C$7:$C$12,MATCH(F89,Assumptions!$B$7:$B$12,0)))</f>
        <v>729.54700000000003</v>
      </c>
      <c r="S89" s="3">
        <f>IF(N89="Cancelled",Assumptions!$C$19,IF(N89="Returned",Assumptions!$C$17+O89*Assumptions!$C$18+Assumptions!$C$20,Assumptions!$C$17+O89*Assumptions!$C$18))</f>
        <v>43.599999999999994</v>
      </c>
      <c r="T89" s="3">
        <f>R89+S89</f>
        <v>773.14700000000005</v>
      </c>
      <c r="U89" s="7">
        <f>K89-T89</f>
        <v>269.06299999999999</v>
      </c>
      <c r="V89" s="7">
        <f>IF(U89&gt;0,U89,0)</f>
        <v>269.06299999999999</v>
      </c>
      <c r="W89" s="5">
        <f>IF(U89&gt;0,U89/H89,0)</f>
        <v>0.25816582070791871</v>
      </c>
      <c r="X89" s="7">
        <f>IF(U89&lt;0,-U89,0)</f>
        <v>0</v>
      </c>
      <c r="Y89" s="5">
        <f>IF(U89&lt;0,-U89/H89,0)</f>
        <v>0</v>
      </c>
      <c r="Z89" s="2" t="str">
        <f>IF(U89&gt;=0,"Profitable",IF(N89="Cancelled","Order Cancelled",IF(N89="Returned","Order Returned",IF(AND(I89&gt;=0.15,U89&lt;0),"High Discount",IF(S89&gt;H89,"Delivery Cost Exceeded Order Value","Low Order Value / Thin Margin")))))</f>
        <v>Profitable</v>
      </c>
    </row>
    <row r="90" spans="1:26" x14ac:dyDescent="0.3">
      <c r="A90" s="2" t="s">
        <v>261</v>
      </c>
      <c r="B90" s="6">
        <v>46088.952777777798</v>
      </c>
      <c r="C90" s="2" t="s">
        <v>262</v>
      </c>
      <c r="D90" s="2" t="s">
        <v>87</v>
      </c>
      <c r="E90" s="2" t="s">
        <v>5</v>
      </c>
      <c r="F90" s="2" t="s">
        <v>11</v>
      </c>
      <c r="G90" s="2">
        <v>3</v>
      </c>
      <c r="H90" s="3">
        <v>4530.04</v>
      </c>
      <c r="I90" s="4">
        <v>0</v>
      </c>
      <c r="J90" s="3">
        <v>0</v>
      </c>
      <c r="K90" s="7">
        <f t="shared" si="1"/>
        <v>4530.04</v>
      </c>
      <c r="L90" s="2" t="s">
        <v>14</v>
      </c>
      <c r="M90" s="2" t="s">
        <v>94</v>
      </c>
      <c r="N90" s="2" t="s">
        <v>13</v>
      </c>
      <c r="O90" s="2">
        <v>27</v>
      </c>
      <c r="P90" s="2">
        <v>3</v>
      </c>
      <c r="Q90" s="2" t="str">
        <f>TEXT(tblOrders[[#This Row],[Order Date]],"mmm-yyyy")</f>
        <v>Mar-2026</v>
      </c>
      <c r="R90" s="3">
        <f>IF(N90="Cancelled",0,H90*INDEX(Assumptions!$C$7:$C$12,MATCH(F90,Assumptions!$B$7:$B$12,0)))</f>
        <v>2944.5260000000003</v>
      </c>
      <c r="S90" s="3">
        <f>IF(N90="Cancelled",Assumptions!$C$19,IF(N90="Returned",Assumptions!$C$17+O90*Assumptions!$C$18+Assumptions!$C$20,Assumptions!$C$17+O90*Assumptions!$C$18))</f>
        <v>33.1</v>
      </c>
      <c r="T90" s="3">
        <f>R90+S90</f>
        <v>2977.6260000000002</v>
      </c>
      <c r="U90" s="7">
        <f>K90-T90</f>
        <v>1552.4139999999998</v>
      </c>
      <c r="V90" s="7">
        <f>IF(U90&gt;0,U90,0)</f>
        <v>1552.4139999999998</v>
      </c>
      <c r="W90" s="5">
        <f>IF(U90&gt;0,U90/H90,0)</f>
        <v>0.34269322125190943</v>
      </c>
      <c r="X90" s="7">
        <f>IF(U90&lt;0,-U90,0)</f>
        <v>0</v>
      </c>
      <c r="Y90" s="5">
        <f>IF(U90&lt;0,-U90/H90,0)</f>
        <v>0</v>
      </c>
      <c r="Z90" s="2" t="str">
        <f>IF(U90&gt;=0,"Profitable",IF(N90="Cancelled","Order Cancelled",IF(N90="Returned","Order Returned",IF(AND(I90&gt;=0.15,U90&lt;0),"High Discount",IF(S90&gt;H90,"Delivery Cost Exceeded Order Value","Low Order Value / Thin Margin")))))</f>
        <v>Profitable</v>
      </c>
    </row>
    <row r="91" spans="1:26" x14ac:dyDescent="0.3">
      <c r="A91" s="2" t="s">
        <v>263</v>
      </c>
      <c r="B91" s="6">
        <v>46089.59375</v>
      </c>
      <c r="C91" s="2" t="s">
        <v>232</v>
      </c>
      <c r="D91" s="2" t="s">
        <v>77</v>
      </c>
      <c r="E91" s="2" t="s">
        <v>3</v>
      </c>
      <c r="F91" s="2" t="s">
        <v>8</v>
      </c>
      <c r="G91" s="2">
        <v>3</v>
      </c>
      <c r="H91" s="3">
        <v>1417.2</v>
      </c>
      <c r="I91" s="4">
        <v>0.15</v>
      </c>
      <c r="J91" s="3">
        <v>0</v>
      </c>
      <c r="K91" s="7">
        <f t="shared" si="1"/>
        <v>1204.6200000000001</v>
      </c>
      <c r="L91" s="2" t="s">
        <v>14</v>
      </c>
      <c r="M91" s="2" t="s">
        <v>94</v>
      </c>
      <c r="N91" s="2" t="s">
        <v>13</v>
      </c>
      <c r="O91" s="2">
        <v>64</v>
      </c>
      <c r="P91" s="2">
        <v>5</v>
      </c>
      <c r="Q91" s="2" t="str">
        <f>TEXT(tblOrders[[#This Row],[Order Date]],"mmm-yyyy")</f>
        <v>Mar-2026</v>
      </c>
      <c r="R91" s="3">
        <f>IF(N91="Cancelled",0,H91*INDEX(Assumptions!$C$7:$C$12,MATCH(F91,Assumptions!$B$7:$B$12,0)))</f>
        <v>779.46</v>
      </c>
      <c r="S91" s="3">
        <f>IF(N91="Cancelled",Assumptions!$C$19,IF(N91="Returned",Assumptions!$C$17+O91*Assumptions!$C$18+Assumptions!$C$20,Assumptions!$C$17+O91*Assumptions!$C$18))</f>
        <v>44.2</v>
      </c>
      <c r="T91" s="3">
        <f>R91+S91</f>
        <v>823.66000000000008</v>
      </c>
      <c r="U91" s="7">
        <f>K91-T91</f>
        <v>380.96000000000004</v>
      </c>
      <c r="V91" s="7">
        <f>IF(U91&gt;0,U91,0)</f>
        <v>380.96000000000004</v>
      </c>
      <c r="W91" s="5">
        <f>IF(U91&gt;0,U91/H91,0)</f>
        <v>0.26881174146203785</v>
      </c>
      <c r="X91" s="7">
        <f>IF(U91&lt;0,-U91,0)</f>
        <v>0</v>
      </c>
      <c r="Y91" s="5">
        <f>IF(U91&lt;0,-U91/H91,0)</f>
        <v>0</v>
      </c>
      <c r="Z91" s="2" t="str">
        <f>IF(U91&gt;=0,"Profitable",IF(N91="Cancelled","Order Cancelled",IF(N91="Returned","Order Returned",IF(AND(I91&gt;=0.15,U91&lt;0),"High Discount",IF(S91&gt;H91,"Delivery Cost Exceeded Order Value","Low Order Value / Thin Margin")))))</f>
        <v>Profitable</v>
      </c>
    </row>
    <row r="92" spans="1:26" x14ac:dyDescent="0.3">
      <c r="A92" s="2" t="s">
        <v>264</v>
      </c>
      <c r="B92" s="6">
        <v>46090.784722222197</v>
      </c>
      <c r="C92" s="2" t="s">
        <v>265</v>
      </c>
      <c r="D92" s="2" t="s">
        <v>97</v>
      </c>
      <c r="E92" s="2" t="s">
        <v>3</v>
      </c>
      <c r="F92" s="2" t="s">
        <v>11</v>
      </c>
      <c r="G92" s="2">
        <v>2</v>
      </c>
      <c r="H92" s="3">
        <v>4384.12</v>
      </c>
      <c r="I92" s="4">
        <v>0.1</v>
      </c>
      <c r="J92" s="3">
        <v>0</v>
      </c>
      <c r="K92" s="7">
        <f t="shared" si="1"/>
        <v>3945.7080000000001</v>
      </c>
      <c r="L92" s="2" t="s">
        <v>19</v>
      </c>
      <c r="M92" s="2" t="s">
        <v>94</v>
      </c>
      <c r="N92" s="2" t="s">
        <v>13</v>
      </c>
      <c r="O92" s="2">
        <v>66</v>
      </c>
      <c r="P92" s="2">
        <v>3</v>
      </c>
      <c r="Q92" s="2" t="str">
        <f>TEXT(tblOrders[[#This Row],[Order Date]],"mmm-yyyy")</f>
        <v>Mar-2026</v>
      </c>
      <c r="R92" s="3">
        <f>IF(N92="Cancelled",0,H92*INDEX(Assumptions!$C$7:$C$12,MATCH(F92,Assumptions!$B$7:$B$12,0)))</f>
        <v>2849.6779999999999</v>
      </c>
      <c r="S92" s="3">
        <f>IF(N92="Cancelled",Assumptions!$C$19,IF(N92="Returned",Assumptions!$C$17+O92*Assumptions!$C$18+Assumptions!$C$20,Assumptions!$C$17+O92*Assumptions!$C$18))</f>
        <v>44.8</v>
      </c>
      <c r="T92" s="3">
        <f>R92+S92</f>
        <v>2894.4780000000001</v>
      </c>
      <c r="U92" s="7">
        <f>K92-T92</f>
        <v>1051.23</v>
      </c>
      <c r="V92" s="7">
        <f>IF(U92&gt;0,U92,0)</f>
        <v>1051.23</v>
      </c>
      <c r="W92" s="5">
        <f>IF(U92&gt;0,U92/H92,0)</f>
        <v>0.23978130160670785</v>
      </c>
      <c r="X92" s="7">
        <f>IF(U92&lt;0,-U92,0)</f>
        <v>0</v>
      </c>
      <c r="Y92" s="5">
        <f>IF(U92&lt;0,-U92/H92,0)</f>
        <v>0</v>
      </c>
      <c r="Z92" s="2" t="str">
        <f>IF(U92&gt;=0,"Profitable",IF(N92="Cancelled","Order Cancelled",IF(N92="Returned","Order Returned",IF(AND(I92&gt;=0.15,U92&lt;0),"High Discount",IF(S92&gt;H92,"Delivery Cost Exceeded Order Value","Low Order Value / Thin Margin")))))</f>
        <v>Profitable</v>
      </c>
    </row>
    <row r="93" spans="1:26" x14ac:dyDescent="0.3">
      <c r="A93" s="2" t="s">
        <v>266</v>
      </c>
      <c r="B93" s="6">
        <v>46092.374305555597</v>
      </c>
      <c r="C93" s="2" t="s">
        <v>267</v>
      </c>
      <c r="D93" s="2" t="s">
        <v>97</v>
      </c>
      <c r="E93" s="2" t="s">
        <v>5</v>
      </c>
      <c r="F93" s="2" t="s">
        <v>4</v>
      </c>
      <c r="G93" s="2">
        <v>5</v>
      </c>
      <c r="H93" s="3">
        <v>741.69</v>
      </c>
      <c r="I93" s="4">
        <v>0</v>
      </c>
      <c r="J93" s="3">
        <v>39</v>
      </c>
      <c r="K93" s="7">
        <f t="shared" si="1"/>
        <v>780.69</v>
      </c>
      <c r="L93" s="2" t="s">
        <v>18</v>
      </c>
      <c r="M93" s="2" t="s">
        <v>74</v>
      </c>
      <c r="N93" s="2" t="s">
        <v>13</v>
      </c>
      <c r="O93" s="2">
        <v>44</v>
      </c>
      <c r="P93" s="2">
        <v>5</v>
      </c>
      <c r="Q93" s="2" t="str">
        <f>TEXT(tblOrders[[#This Row],[Order Date]],"mmm-yyyy")</f>
        <v>Mar-2026</v>
      </c>
      <c r="R93" s="3">
        <f>IF(N93="Cancelled",0,H93*INDEX(Assumptions!$C$7:$C$12,MATCH(F93,Assumptions!$B$7:$B$12,0)))</f>
        <v>578.51820000000009</v>
      </c>
      <c r="S93" s="3">
        <f>IF(N93="Cancelled",Assumptions!$C$19,IF(N93="Returned",Assumptions!$C$17+O93*Assumptions!$C$18+Assumptions!$C$20,Assumptions!$C$17+O93*Assumptions!$C$18))</f>
        <v>38.200000000000003</v>
      </c>
      <c r="T93" s="3">
        <f>R93+S93</f>
        <v>616.71820000000014</v>
      </c>
      <c r="U93" s="7">
        <f>K93-T93</f>
        <v>163.97179999999992</v>
      </c>
      <c r="V93" s="7">
        <f>IF(U93&gt;0,U93,0)</f>
        <v>163.97179999999992</v>
      </c>
      <c r="W93" s="5">
        <f>IF(U93&gt;0,U93/H93,0)</f>
        <v>0.22107861775135151</v>
      </c>
      <c r="X93" s="7">
        <f>IF(U93&lt;0,-U93,0)</f>
        <v>0</v>
      </c>
      <c r="Y93" s="5">
        <f>IF(U93&lt;0,-U93/H93,0)</f>
        <v>0</v>
      </c>
      <c r="Z93" s="2" t="str">
        <f>IF(U93&gt;=0,"Profitable",IF(N93="Cancelled","Order Cancelled",IF(N93="Returned","Order Returned",IF(AND(I93&gt;=0.15,U93&lt;0),"High Discount",IF(S93&gt;H93,"Delivery Cost Exceeded Order Value","Low Order Value / Thin Margin")))))</f>
        <v>Profitable</v>
      </c>
    </row>
    <row r="94" spans="1:26" x14ac:dyDescent="0.3">
      <c r="A94" s="2" t="s">
        <v>268</v>
      </c>
      <c r="B94" s="6">
        <v>46092.555555555598</v>
      </c>
      <c r="C94" s="2" t="s">
        <v>269</v>
      </c>
      <c r="D94" s="2" t="s">
        <v>131</v>
      </c>
      <c r="E94" s="2" t="s">
        <v>3</v>
      </c>
      <c r="F94" s="2" t="s">
        <v>10</v>
      </c>
      <c r="G94" s="2">
        <v>2</v>
      </c>
      <c r="H94" s="3">
        <v>408.39</v>
      </c>
      <c r="I94" s="4">
        <v>0.15</v>
      </c>
      <c r="J94" s="3">
        <v>39</v>
      </c>
      <c r="K94" s="7">
        <f t="shared" si="1"/>
        <v>386.13149999999996</v>
      </c>
      <c r="L94" s="2" t="s">
        <v>16</v>
      </c>
      <c r="M94" s="2" t="s">
        <v>82</v>
      </c>
      <c r="N94" s="2" t="s">
        <v>13</v>
      </c>
      <c r="O94" s="2">
        <v>70</v>
      </c>
      <c r="P94" s="2">
        <v>4</v>
      </c>
      <c r="Q94" s="2" t="str">
        <f>TEXT(tblOrders[[#This Row],[Order Date]],"mmm-yyyy")</f>
        <v>Mar-2026</v>
      </c>
      <c r="R94" s="3">
        <f>IF(N94="Cancelled",0,H94*INDEX(Assumptions!$C$7:$C$12,MATCH(F94,Assumptions!$B$7:$B$12,0)))</f>
        <v>285.87299999999999</v>
      </c>
      <c r="S94" s="3">
        <f>IF(N94="Cancelled",Assumptions!$C$19,IF(N94="Returned",Assumptions!$C$17+O94*Assumptions!$C$18+Assumptions!$C$20,Assumptions!$C$17+O94*Assumptions!$C$18))</f>
        <v>46</v>
      </c>
      <c r="T94" s="3">
        <f>R94+S94</f>
        <v>331.87299999999999</v>
      </c>
      <c r="U94" s="7">
        <f>K94-T94</f>
        <v>54.25849999999997</v>
      </c>
      <c r="V94" s="7">
        <f>IF(U94&gt;0,U94,0)</f>
        <v>54.25849999999997</v>
      </c>
      <c r="W94" s="5">
        <f>IF(U94&gt;0,U94/H94,0)</f>
        <v>0.13285952153578681</v>
      </c>
      <c r="X94" s="7">
        <f>IF(U94&lt;0,-U94,0)</f>
        <v>0</v>
      </c>
      <c r="Y94" s="5">
        <f>IF(U94&lt;0,-U94/H94,0)</f>
        <v>0</v>
      </c>
      <c r="Z94" s="2" t="str">
        <f>IF(U94&gt;=0,"Profitable",IF(N94="Cancelled","Order Cancelled",IF(N94="Returned","Order Returned",IF(AND(I94&gt;=0.15,U94&lt;0),"High Discount",IF(S94&gt;H94,"Delivery Cost Exceeded Order Value","Low Order Value / Thin Margin")))))</f>
        <v>Profitable</v>
      </c>
    </row>
    <row r="95" spans="1:26" x14ac:dyDescent="0.3">
      <c r="A95" s="2" t="s">
        <v>270</v>
      </c>
      <c r="B95" s="6">
        <v>46094.363888888904</v>
      </c>
      <c r="C95" s="2" t="s">
        <v>271</v>
      </c>
      <c r="D95" s="2" t="s">
        <v>97</v>
      </c>
      <c r="E95" s="2" t="s">
        <v>3</v>
      </c>
      <c r="F95" s="2" t="s">
        <v>6</v>
      </c>
      <c r="G95" s="2">
        <v>2</v>
      </c>
      <c r="H95" s="3">
        <v>12947.39</v>
      </c>
      <c r="I95" s="4">
        <v>0</v>
      </c>
      <c r="J95" s="3">
        <v>0</v>
      </c>
      <c r="K95" s="7">
        <f t="shared" si="1"/>
        <v>12947.39</v>
      </c>
      <c r="L95" s="2" t="s">
        <v>18</v>
      </c>
      <c r="M95" s="2" t="s">
        <v>175</v>
      </c>
      <c r="N95" s="2" t="s">
        <v>13</v>
      </c>
      <c r="O95" s="2">
        <v>63</v>
      </c>
      <c r="P95" s="2">
        <v>3</v>
      </c>
      <c r="Q95" s="2" t="str">
        <f>TEXT(tblOrders[[#This Row],[Order Date]],"mmm-yyyy")</f>
        <v>Mar-2026</v>
      </c>
      <c r="R95" s="3">
        <f>IF(N95="Cancelled",0,H95*INDEX(Assumptions!$C$7:$C$12,MATCH(F95,Assumptions!$B$7:$B$12,0)))</f>
        <v>11393.7032</v>
      </c>
      <c r="S95" s="3">
        <f>IF(N95="Cancelled",Assumptions!$C$19,IF(N95="Returned",Assumptions!$C$17+O95*Assumptions!$C$18+Assumptions!$C$20,Assumptions!$C$17+O95*Assumptions!$C$18))</f>
        <v>43.9</v>
      </c>
      <c r="T95" s="3">
        <f>R95+S95</f>
        <v>11437.6032</v>
      </c>
      <c r="U95" s="7">
        <f>K95-T95</f>
        <v>1509.7867999999999</v>
      </c>
      <c r="V95" s="7">
        <f>IF(U95&gt;0,U95,0)</f>
        <v>1509.7867999999999</v>
      </c>
      <c r="W95" s="5">
        <f>IF(U95&gt;0,U95/H95,0)</f>
        <v>0.11660935524457053</v>
      </c>
      <c r="X95" s="7">
        <f>IF(U95&lt;0,-U95,0)</f>
        <v>0</v>
      </c>
      <c r="Y95" s="5">
        <f>IF(U95&lt;0,-U95/H95,0)</f>
        <v>0</v>
      </c>
      <c r="Z95" s="2" t="str">
        <f>IF(U95&gt;=0,"Profitable",IF(N95="Cancelled","Order Cancelled",IF(N95="Returned","Order Returned",IF(AND(I95&gt;=0.15,U95&lt;0),"High Discount",IF(S95&gt;H95,"Delivery Cost Exceeded Order Value","Low Order Value / Thin Margin")))))</f>
        <v>Profitable</v>
      </c>
    </row>
    <row r="96" spans="1:26" x14ac:dyDescent="0.3">
      <c r="A96" s="2" t="s">
        <v>272</v>
      </c>
      <c r="B96" s="6">
        <v>46094.870138888902</v>
      </c>
      <c r="C96" s="2" t="s">
        <v>210</v>
      </c>
      <c r="D96" s="2" t="s">
        <v>69</v>
      </c>
      <c r="E96" s="2" t="s">
        <v>5</v>
      </c>
      <c r="F96" s="2" t="s">
        <v>8</v>
      </c>
      <c r="G96" s="2">
        <v>4</v>
      </c>
      <c r="H96" s="3">
        <v>371.72</v>
      </c>
      <c r="I96" s="4">
        <v>0.1</v>
      </c>
      <c r="J96" s="3">
        <v>29</v>
      </c>
      <c r="K96" s="7">
        <f t="shared" si="1"/>
        <v>363.54800000000006</v>
      </c>
      <c r="L96" s="2" t="s">
        <v>18</v>
      </c>
      <c r="M96" s="2" t="s">
        <v>113</v>
      </c>
      <c r="N96" s="2" t="s">
        <v>13</v>
      </c>
      <c r="O96" s="2">
        <v>26</v>
      </c>
      <c r="P96" s="2">
        <v>5</v>
      </c>
      <c r="Q96" s="2" t="str">
        <f>TEXT(tblOrders[[#This Row],[Order Date]],"mmm-yyyy")</f>
        <v>Mar-2026</v>
      </c>
      <c r="R96" s="3">
        <f>IF(N96="Cancelled",0,H96*INDEX(Assumptions!$C$7:$C$12,MATCH(F96,Assumptions!$B$7:$B$12,0)))</f>
        <v>204.44600000000003</v>
      </c>
      <c r="S96" s="3">
        <f>IF(N96="Cancelled",Assumptions!$C$19,IF(N96="Returned",Assumptions!$C$17+O96*Assumptions!$C$18+Assumptions!$C$20,Assumptions!$C$17+O96*Assumptions!$C$18))</f>
        <v>32.799999999999997</v>
      </c>
      <c r="T96" s="3">
        <f>R96+S96</f>
        <v>237.24600000000004</v>
      </c>
      <c r="U96" s="7">
        <f>K96-T96</f>
        <v>126.30200000000002</v>
      </c>
      <c r="V96" s="7">
        <f>IF(U96&gt;0,U96,0)</f>
        <v>126.30200000000002</v>
      </c>
      <c r="W96" s="5">
        <f>IF(U96&gt;0,U96/H96,0)</f>
        <v>0.33977725169482409</v>
      </c>
      <c r="X96" s="7">
        <f>IF(U96&lt;0,-U96,0)</f>
        <v>0</v>
      </c>
      <c r="Y96" s="5">
        <f>IF(U96&lt;0,-U96/H96,0)</f>
        <v>0</v>
      </c>
      <c r="Z96" s="2" t="str">
        <f>IF(U96&gt;=0,"Profitable",IF(N96="Cancelled","Order Cancelled",IF(N96="Returned","Order Returned",IF(AND(I96&gt;=0.15,U96&lt;0),"High Discount",IF(S96&gt;H96,"Delivery Cost Exceeded Order Value","Low Order Value / Thin Margin")))))</f>
        <v>Profitable</v>
      </c>
    </row>
    <row r="97" spans="1:26" x14ac:dyDescent="0.3">
      <c r="A97" s="2" t="s">
        <v>273</v>
      </c>
      <c r="B97" s="6">
        <v>46095.408333333296</v>
      </c>
      <c r="C97" s="2" t="s">
        <v>255</v>
      </c>
      <c r="D97" s="2" t="s">
        <v>87</v>
      </c>
      <c r="E97" s="2" t="s">
        <v>3</v>
      </c>
      <c r="F97" s="2" t="s">
        <v>4</v>
      </c>
      <c r="G97" s="2">
        <v>5</v>
      </c>
      <c r="H97" s="3">
        <v>304.72000000000003</v>
      </c>
      <c r="I97" s="4">
        <v>0.05</v>
      </c>
      <c r="J97" s="3">
        <v>29</v>
      </c>
      <c r="K97" s="7">
        <f t="shared" si="1"/>
        <v>318.48400000000004</v>
      </c>
      <c r="L97" s="2" t="s">
        <v>16</v>
      </c>
      <c r="M97" s="2" t="s">
        <v>149</v>
      </c>
      <c r="N97" s="2" t="s">
        <v>13</v>
      </c>
      <c r="O97" s="2">
        <v>62</v>
      </c>
      <c r="P97" s="2">
        <v>3</v>
      </c>
      <c r="Q97" s="2" t="str">
        <f>TEXT(tblOrders[[#This Row],[Order Date]],"mmm-yyyy")</f>
        <v>Mar-2026</v>
      </c>
      <c r="R97" s="3">
        <f>IF(N97="Cancelled",0,H97*INDEX(Assumptions!$C$7:$C$12,MATCH(F97,Assumptions!$B$7:$B$12,0)))</f>
        <v>237.68160000000003</v>
      </c>
      <c r="S97" s="3">
        <f>IF(N97="Cancelled",Assumptions!$C$19,IF(N97="Returned",Assumptions!$C$17+O97*Assumptions!$C$18+Assumptions!$C$20,Assumptions!$C$17+O97*Assumptions!$C$18))</f>
        <v>43.599999999999994</v>
      </c>
      <c r="T97" s="3">
        <f>R97+S97</f>
        <v>281.28160000000003</v>
      </c>
      <c r="U97" s="7">
        <f>K97-T97</f>
        <v>37.202400000000011</v>
      </c>
      <c r="V97" s="7">
        <f>IF(U97&gt;0,U97,0)</f>
        <v>37.202400000000011</v>
      </c>
      <c r="W97" s="5">
        <f>IF(U97&gt;0,U97/H97,0)</f>
        <v>0.12208716198477293</v>
      </c>
      <c r="X97" s="7">
        <f>IF(U97&lt;0,-U97,0)</f>
        <v>0</v>
      </c>
      <c r="Y97" s="5">
        <f>IF(U97&lt;0,-U97/H97,0)</f>
        <v>0</v>
      </c>
      <c r="Z97" s="2" t="str">
        <f>IF(U97&gt;=0,"Profitable",IF(N97="Cancelled","Order Cancelled",IF(N97="Returned","Order Returned",IF(AND(I97&gt;=0.15,U97&lt;0),"High Discount",IF(S97&gt;H97,"Delivery Cost Exceeded Order Value","Low Order Value / Thin Margin")))))</f>
        <v>Profitable</v>
      </c>
    </row>
    <row r="98" spans="1:26" x14ac:dyDescent="0.3">
      <c r="A98" s="2" t="s">
        <v>274</v>
      </c>
      <c r="B98" s="6">
        <v>46095.531944444498</v>
      </c>
      <c r="C98" s="2" t="s">
        <v>275</v>
      </c>
      <c r="D98" s="2" t="s">
        <v>81</v>
      </c>
      <c r="E98" s="2" t="s">
        <v>5</v>
      </c>
      <c r="F98" s="2" t="s">
        <v>10</v>
      </c>
      <c r="G98" s="2">
        <v>5</v>
      </c>
      <c r="H98" s="3">
        <v>1320.06</v>
      </c>
      <c r="I98" s="4">
        <v>0</v>
      </c>
      <c r="J98" s="3">
        <v>0</v>
      </c>
      <c r="K98" s="7">
        <f t="shared" si="1"/>
        <v>1320.06</v>
      </c>
      <c r="L98" s="2" t="s">
        <v>14</v>
      </c>
      <c r="M98" s="2" t="s">
        <v>70</v>
      </c>
      <c r="N98" s="2" t="s">
        <v>13</v>
      </c>
      <c r="O98" s="2">
        <v>36</v>
      </c>
      <c r="P98" s="2">
        <v>4</v>
      </c>
      <c r="Q98" s="2" t="str">
        <f>TEXT(tblOrders[[#This Row],[Order Date]],"mmm-yyyy")</f>
        <v>Mar-2026</v>
      </c>
      <c r="R98" s="3">
        <f>IF(N98="Cancelled",0,H98*INDEX(Assumptions!$C$7:$C$12,MATCH(F98,Assumptions!$B$7:$B$12,0)))</f>
        <v>924.04199999999992</v>
      </c>
      <c r="S98" s="3">
        <f>IF(N98="Cancelled",Assumptions!$C$19,IF(N98="Returned",Assumptions!$C$17+O98*Assumptions!$C$18+Assumptions!$C$20,Assumptions!$C$17+O98*Assumptions!$C$18))</f>
        <v>35.799999999999997</v>
      </c>
      <c r="T98" s="3">
        <f>R98+S98</f>
        <v>959.84199999999987</v>
      </c>
      <c r="U98" s="7">
        <f>K98-T98</f>
        <v>360.21800000000007</v>
      </c>
      <c r="V98" s="7">
        <f>IF(U98&gt;0,U98,0)</f>
        <v>360.21800000000007</v>
      </c>
      <c r="W98" s="5">
        <f>IF(U98&gt;0,U98/H98,0)</f>
        <v>0.27288002060512406</v>
      </c>
      <c r="X98" s="7">
        <f>IF(U98&lt;0,-U98,0)</f>
        <v>0</v>
      </c>
      <c r="Y98" s="5">
        <f>IF(U98&lt;0,-U98/H98,0)</f>
        <v>0</v>
      </c>
      <c r="Z98" s="2" t="str">
        <f>IF(U98&gt;=0,"Profitable",IF(N98="Cancelled","Order Cancelled",IF(N98="Returned","Order Returned",IF(AND(I98&gt;=0.15,U98&lt;0),"High Discount",IF(S98&gt;H98,"Delivery Cost Exceeded Order Value","Low Order Value / Thin Margin")))))</f>
        <v>Profitable</v>
      </c>
    </row>
    <row r="99" spans="1:26" x14ac:dyDescent="0.3">
      <c r="A99" s="2" t="s">
        <v>276</v>
      </c>
      <c r="B99" s="6">
        <v>46095.695833333302</v>
      </c>
      <c r="C99" s="2" t="s">
        <v>277</v>
      </c>
      <c r="D99" s="2" t="s">
        <v>77</v>
      </c>
      <c r="E99" s="2" t="s">
        <v>3</v>
      </c>
      <c r="F99" s="2" t="s">
        <v>9</v>
      </c>
      <c r="G99" s="2">
        <v>2</v>
      </c>
      <c r="H99" s="3">
        <v>638.24</v>
      </c>
      <c r="I99" s="4">
        <v>0</v>
      </c>
      <c r="J99" s="3">
        <v>39</v>
      </c>
      <c r="K99" s="7">
        <f t="shared" si="1"/>
        <v>677.24</v>
      </c>
      <c r="L99" s="2" t="s">
        <v>16</v>
      </c>
      <c r="M99" s="2" t="s">
        <v>143</v>
      </c>
      <c r="N99" s="2" t="s">
        <v>13</v>
      </c>
      <c r="O99" s="2">
        <v>49</v>
      </c>
      <c r="P99" s="2">
        <v>4</v>
      </c>
      <c r="Q99" s="2" t="str">
        <f>TEXT(tblOrders[[#This Row],[Order Date]],"mmm-yyyy")</f>
        <v>Mar-2026</v>
      </c>
      <c r="R99" s="3">
        <f>IF(N99="Cancelled",0,H99*INDEX(Assumptions!$C$7:$C$12,MATCH(F99,Assumptions!$B$7:$B$12,0)))</f>
        <v>287.20800000000003</v>
      </c>
      <c r="S99" s="3">
        <f>IF(N99="Cancelled",Assumptions!$C$19,IF(N99="Returned",Assumptions!$C$17+O99*Assumptions!$C$18+Assumptions!$C$20,Assumptions!$C$17+O99*Assumptions!$C$18))</f>
        <v>39.700000000000003</v>
      </c>
      <c r="T99" s="3">
        <f>R99+S99</f>
        <v>326.90800000000002</v>
      </c>
      <c r="U99" s="7">
        <f>K99-T99</f>
        <v>350.33199999999999</v>
      </c>
      <c r="V99" s="7">
        <f>IF(U99&gt;0,U99,0)</f>
        <v>350.33199999999999</v>
      </c>
      <c r="W99" s="5">
        <f>IF(U99&gt;0,U99/H99,0)</f>
        <v>0.54890323389320628</v>
      </c>
      <c r="X99" s="7">
        <f>IF(U99&lt;0,-U99,0)</f>
        <v>0</v>
      </c>
      <c r="Y99" s="5">
        <f>IF(U99&lt;0,-U99/H99,0)</f>
        <v>0</v>
      </c>
      <c r="Z99" s="2" t="str">
        <f>IF(U99&gt;=0,"Profitable",IF(N99="Cancelled","Order Cancelled",IF(N99="Returned","Order Returned",IF(AND(I99&gt;=0.15,U99&lt;0),"High Discount",IF(S99&gt;H99,"Delivery Cost Exceeded Order Value","Low Order Value / Thin Margin")))))</f>
        <v>Profitable</v>
      </c>
    </row>
    <row r="100" spans="1:26" x14ac:dyDescent="0.3">
      <c r="A100" s="2" t="s">
        <v>278</v>
      </c>
      <c r="B100" s="6">
        <v>46096.752083333296</v>
      </c>
      <c r="C100" s="2" t="s">
        <v>279</v>
      </c>
      <c r="D100" s="2" t="s">
        <v>131</v>
      </c>
      <c r="E100" s="2" t="s">
        <v>3</v>
      </c>
      <c r="F100" s="2" t="s">
        <v>11</v>
      </c>
      <c r="G100" s="2">
        <v>5</v>
      </c>
      <c r="H100" s="3">
        <v>1546.88</v>
      </c>
      <c r="I100" s="4">
        <v>0.15</v>
      </c>
      <c r="J100" s="3">
        <v>0</v>
      </c>
      <c r="K100" s="7">
        <f t="shared" si="1"/>
        <v>0</v>
      </c>
      <c r="L100" s="2" t="s">
        <v>14</v>
      </c>
      <c r="M100" s="2" t="s">
        <v>137</v>
      </c>
      <c r="N100" s="2" t="s">
        <v>15</v>
      </c>
      <c r="O100" s="2"/>
      <c r="P100" s="2"/>
      <c r="Q100" s="2" t="str">
        <f>TEXT(tblOrders[[#This Row],[Order Date]],"mmm-yyyy")</f>
        <v>Mar-2026</v>
      </c>
      <c r="R100" s="3">
        <f>IF(N100="Cancelled",0,H100*INDEX(Assumptions!$C$7:$C$12,MATCH(F100,Assumptions!$B$7:$B$12,0)))</f>
        <v>0</v>
      </c>
      <c r="S100" s="3">
        <f>IF(N100="Cancelled",Assumptions!$C$19,IF(N100="Returned",Assumptions!$C$17+O100*Assumptions!$C$18+Assumptions!$C$20,Assumptions!$C$17+O100*Assumptions!$C$18))</f>
        <v>15</v>
      </c>
      <c r="T100" s="3">
        <f>R100+S100</f>
        <v>15</v>
      </c>
      <c r="U100" s="7">
        <f>K100-T100</f>
        <v>-15</v>
      </c>
      <c r="V100" s="7">
        <f>IF(U100&gt;0,U100,0)</f>
        <v>0</v>
      </c>
      <c r="W100" s="5">
        <f>IF(U100&gt;0,U100/H100,0)</f>
        <v>0</v>
      </c>
      <c r="X100" s="7">
        <f>IF(U100&lt;0,-U100,0)</f>
        <v>15</v>
      </c>
      <c r="Y100" s="5">
        <f>IF(U100&lt;0,-U100/H100,0)</f>
        <v>9.6969383533305736E-3</v>
      </c>
      <c r="Z100" s="2" t="str">
        <f>IF(U100&gt;=0,"Profitable",IF(N100="Cancelled","Order Cancelled",IF(N100="Returned","Order Returned",IF(AND(I100&gt;=0.15,U100&lt;0),"High Discount",IF(S100&gt;H100,"Delivery Cost Exceeded Order Value","Low Order Value / Thin Margin")))))</f>
        <v>Order Cancelled</v>
      </c>
    </row>
    <row r="101" spans="1:26" x14ac:dyDescent="0.3">
      <c r="A101" s="2" t="s">
        <v>280</v>
      </c>
      <c r="B101" s="6">
        <v>46098.425000000003</v>
      </c>
      <c r="C101" s="2" t="s">
        <v>281</v>
      </c>
      <c r="D101" s="2" t="s">
        <v>87</v>
      </c>
      <c r="E101" s="2" t="s">
        <v>3</v>
      </c>
      <c r="F101" s="2" t="s">
        <v>6</v>
      </c>
      <c r="G101" s="2">
        <v>2</v>
      </c>
      <c r="H101" s="3">
        <v>7890.08</v>
      </c>
      <c r="I101" s="4">
        <v>0.15</v>
      </c>
      <c r="J101" s="3">
        <v>0</v>
      </c>
      <c r="K101" s="7">
        <f t="shared" si="1"/>
        <v>6706.5680000000002</v>
      </c>
      <c r="L101" s="2" t="s">
        <v>18</v>
      </c>
      <c r="M101" s="2" t="s">
        <v>140</v>
      </c>
      <c r="N101" s="2" t="s">
        <v>13</v>
      </c>
      <c r="O101" s="2">
        <v>80</v>
      </c>
      <c r="P101" s="2">
        <v>5</v>
      </c>
      <c r="Q101" s="2" t="str">
        <f>TEXT(tblOrders[[#This Row],[Order Date]],"mmm-yyyy")</f>
        <v>Mar-2026</v>
      </c>
      <c r="R101" s="3">
        <f>IF(N101="Cancelled",0,H101*INDEX(Assumptions!$C$7:$C$12,MATCH(F101,Assumptions!$B$7:$B$12,0)))</f>
        <v>6943.2704000000003</v>
      </c>
      <c r="S101" s="3">
        <f>IF(N101="Cancelled",Assumptions!$C$19,IF(N101="Returned",Assumptions!$C$17+O101*Assumptions!$C$18+Assumptions!$C$20,Assumptions!$C$17+O101*Assumptions!$C$18))</f>
        <v>49</v>
      </c>
      <c r="T101" s="3">
        <f>R101+S101</f>
        <v>6992.2704000000003</v>
      </c>
      <c r="U101" s="7">
        <f>K101-T101</f>
        <v>-285.70240000000013</v>
      </c>
      <c r="V101" s="7">
        <f>IF(U101&gt;0,U101,0)</f>
        <v>0</v>
      </c>
      <c r="W101" s="5">
        <f>IF(U101&gt;0,U101/H101,0)</f>
        <v>0</v>
      </c>
      <c r="X101" s="7">
        <f>IF(U101&lt;0,-U101,0)</f>
        <v>285.70240000000013</v>
      </c>
      <c r="Y101" s="5">
        <f>IF(U101&lt;0,-U101/H101,0)</f>
        <v>3.6210329933283332E-2</v>
      </c>
      <c r="Z101" s="2" t="str">
        <f>IF(U101&gt;=0,"Profitable",IF(N101="Cancelled","Order Cancelled",IF(N101="Returned","Order Returned",IF(AND(I101&gt;=0.15,U101&lt;0),"High Discount",IF(S101&gt;H101,"Delivery Cost Exceeded Order Value","Low Order Value / Thin Margin")))))</f>
        <v>High Discount</v>
      </c>
    </row>
    <row r="102" spans="1:26" x14ac:dyDescent="0.3">
      <c r="A102" s="2" t="s">
        <v>282</v>
      </c>
      <c r="B102" s="6">
        <v>46099.441666666702</v>
      </c>
      <c r="C102" s="2" t="s">
        <v>283</v>
      </c>
      <c r="D102" s="2" t="s">
        <v>131</v>
      </c>
      <c r="E102" s="2" t="s">
        <v>5</v>
      </c>
      <c r="F102" s="2" t="s">
        <v>4</v>
      </c>
      <c r="G102" s="2">
        <v>4</v>
      </c>
      <c r="H102" s="3">
        <v>860.89</v>
      </c>
      <c r="I102" s="4">
        <v>0.1</v>
      </c>
      <c r="J102" s="3">
        <v>49</v>
      </c>
      <c r="K102" s="7">
        <f t="shared" si="1"/>
        <v>823.80100000000004</v>
      </c>
      <c r="L102" s="2" t="s">
        <v>19</v>
      </c>
      <c r="M102" s="2" t="s">
        <v>164</v>
      </c>
      <c r="N102" s="2" t="s">
        <v>13</v>
      </c>
      <c r="O102" s="2">
        <v>35</v>
      </c>
      <c r="P102" s="2">
        <v>5</v>
      </c>
      <c r="Q102" s="2" t="str">
        <f>TEXT(tblOrders[[#This Row],[Order Date]],"mmm-yyyy")</f>
        <v>Mar-2026</v>
      </c>
      <c r="R102" s="3">
        <f>IF(N102="Cancelled",0,H102*INDEX(Assumptions!$C$7:$C$12,MATCH(F102,Assumptions!$B$7:$B$12,0)))</f>
        <v>671.49419999999998</v>
      </c>
      <c r="S102" s="3">
        <f>IF(N102="Cancelled",Assumptions!$C$19,IF(N102="Returned",Assumptions!$C$17+O102*Assumptions!$C$18+Assumptions!$C$20,Assumptions!$C$17+O102*Assumptions!$C$18))</f>
        <v>35.5</v>
      </c>
      <c r="T102" s="3">
        <f>R102+S102</f>
        <v>706.99419999999998</v>
      </c>
      <c r="U102" s="7">
        <f>K102-T102</f>
        <v>116.80680000000007</v>
      </c>
      <c r="V102" s="7">
        <f>IF(U102&gt;0,U102,0)</f>
        <v>116.80680000000007</v>
      </c>
      <c r="W102" s="5">
        <f>IF(U102&gt;0,U102/H102,0)</f>
        <v>0.1356814459454751</v>
      </c>
      <c r="X102" s="7">
        <f>IF(U102&lt;0,-U102,0)</f>
        <v>0</v>
      </c>
      <c r="Y102" s="5">
        <f>IF(U102&lt;0,-U102/H102,0)</f>
        <v>0</v>
      </c>
      <c r="Z102" s="2" t="str">
        <f>IF(U102&gt;=0,"Profitable",IF(N102="Cancelled","Order Cancelled",IF(N102="Returned","Order Returned",IF(AND(I102&gt;=0.15,U102&lt;0),"High Discount",IF(S102&gt;H102,"Delivery Cost Exceeded Order Value","Low Order Value / Thin Margin")))))</f>
        <v>Profitable</v>
      </c>
    </row>
    <row r="103" spans="1:26" x14ac:dyDescent="0.3">
      <c r="A103" s="2" t="s">
        <v>284</v>
      </c>
      <c r="B103" s="6">
        <v>46099.568055555603</v>
      </c>
      <c r="C103" s="2" t="s">
        <v>285</v>
      </c>
      <c r="D103" s="2" t="s">
        <v>73</v>
      </c>
      <c r="E103" s="2" t="s">
        <v>3</v>
      </c>
      <c r="F103" s="2" t="s">
        <v>11</v>
      </c>
      <c r="G103" s="2">
        <v>3</v>
      </c>
      <c r="H103" s="3">
        <v>1230.3</v>
      </c>
      <c r="I103" s="4">
        <v>0.05</v>
      </c>
      <c r="J103" s="3">
        <v>0</v>
      </c>
      <c r="K103" s="7">
        <f t="shared" si="1"/>
        <v>1168.7849999999999</v>
      </c>
      <c r="L103" s="2" t="s">
        <v>18</v>
      </c>
      <c r="M103" s="2" t="s">
        <v>94</v>
      </c>
      <c r="N103" s="2" t="s">
        <v>13</v>
      </c>
      <c r="O103" s="2">
        <v>80</v>
      </c>
      <c r="P103" s="2">
        <v>5</v>
      </c>
      <c r="Q103" s="2" t="str">
        <f>TEXT(tblOrders[[#This Row],[Order Date]],"mmm-yyyy")</f>
        <v>Mar-2026</v>
      </c>
      <c r="R103" s="3">
        <f>IF(N103="Cancelled",0,H103*INDEX(Assumptions!$C$7:$C$12,MATCH(F103,Assumptions!$B$7:$B$12,0)))</f>
        <v>799.69500000000005</v>
      </c>
      <c r="S103" s="3">
        <f>IF(N103="Cancelled",Assumptions!$C$19,IF(N103="Returned",Assumptions!$C$17+O103*Assumptions!$C$18+Assumptions!$C$20,Assumptions!$C$17+O103*Assumptions!$C$18))</f>
        <v>49</v>
      </c>
      <c r="T103" s="3">
        <f>R103+S103</f>
        <v>848.69500000000005</v>
      </c>
      <c r="U103" s="7">
        <f>K103-T103</f>
        <v>320.0899999999998</v>
      </c>
      <c r="V103" s="7">
        <f>IF(U103&gt;0,U103,0)</f>
        <v>320.0899999999998</v>
      </c>
      <c r="W103" s="5">
        <f>IF(U103&gt;0,U103/H103,0)</f>
        <v>0.2601723156953587</v>
      </c>
      <c r="X103" s="7">
        <f>IF(U103&lt;0,-U103,0)</f>
        <v>0</v>
      </c>
      <c r="Y103" s="5">
        <f>IF(U103&lt;0,-U103/H103,0)</f>
        <v>0</v>
      </c>
      <c r="Z103" s="2" t="str">
        <f>IF(U103&gt;=0,"Profitable",IF(N103="Cancelled","Order Cancelled",IF(N103="Returned","Order Returned",IF(AND(I103&gt;=0.15,U103&lt;0),"High Discount",IF(S103&gt;H103,"Delivery Cost Exceeded Order Value","Low Order Value / Thin Margin")))))</f>
        <v>Profitable</v>
      </c>
    </row>
    <row r="104" spans="1:26" x14ac:dyDescent="0.3">
      <c r="A104" s="2" t="s">
        <v>286</v>
      </c>
      <c r="B104" s="6">
        <v>46099.876388888901</v>
      </c>
      <c r="C104" s="2" t="s">
        <v>287</v>
      </c>
      <c r="D104" s="2" t="s">
        <v>116</v>
      </c>
      <c r="E104" s="2" t="s">
        <v>3</v>
      </c>
      <c r="F104" s="2" t="s">
        <v>8</v>
      </c>
      <c r="G104" s="2">
        <v>1</v>
      </c>
      <c r="H104" s="3">
        <v>1924.56</v>
      </c>
      <c r="I104" s="4">
        <v>0</v>
      </c>
      <c r="J104" s="3">
        <v>0</v>
      </c>
      <c r="K104" s="7">
        <f t="shared" si="1"/>
        <v>1924.56</v>
      </c>
      <c r="L104" s="2" t="s">
        <v>16</v>
      </c>
      <c r="M104" s="2" t="s">
        <v>146</v>
      </c>
      <c r="N104" s="2" t="s">
        <v>13</v>
      </c>
      <c r="O104" s="2">
        <v>93</v>
      </c>
      <c r="P104" s="2">
        <v>5</v>
      </c>
      <c r="Q104" s="2" t="str">
        <f>TEXT(tblOrders[[#This Row],[Order Date]],"mmm-yyyy")</f>
        <v>Mar-2026</v>
      </c>
      <c r="R104" s="3">
        <f>IF(N104="Cancelled",0,H104*INDEX(Assumptions!$C$7:$C$12,MATCH(F104,Assumptions!$B$7:$B$12,0)))</f>
        <v>1058.508</v>
      </c>
      <c r="S104" s="3">
        <f>IF(N104="Cancelled",Assumptions!$C$19,IF(N104="Returned",Assumptions!$C$17+O104*Assumptions!$C$18+Assumptions!$C$20,Assumptions!$C$17+O104*Assumptions!$C$18))</f>
        <v>52.9</v>
      </c>
      <c r="T104" s="3">
        <f>R104+S104</f>
        <v>1111.4080000000001</v>
      </c>
      <c r="U104" s="7">
        <f>K104-T104</f>
        <v>813.15199999999982</v>
      </c>
      <c r="V104" s="7">
        <f>IF(U104&gt;0,U104,0)</f>
        <v>813.15199999999982</v>
      </c>
      <c r="W104" s="5">
        <f>IF(U104&gt;0,U104/H104,0)</f>
        <v>0.42251319782183971</v>
      </c>
      <c r="X104" s="7">
        <f>IF(U104&lt;0,-U104,0)</f>
        <v>0</v>
      </c>
      <c r="Y104" s="5">
        <f>IF(U104&lt;0,-U104/H104,0)</f>
        <v>0</v>
      </c>
      <c r="Z104" s="2" t="str">
        <f>IF(U104&gt;=0,"Profitable",IF(N104="Cancelled","Order Cancelled",IF(N104="Returned","Order Returned",IF(AND(I104&gt;=0.15,U104&lt;0),"High Discount",IF(S104&gt;H104,"Delivery Cost Exceeded Order Value","Low Order Value / Thin Margin")))))</f>
        <v>Profitable</v>
      </c>
    </row>
    <row r="105" spans="1:26" x14ac:dyDescent="0.3">
      <c r="A105" s="2" t="s">
        <v>288</v>
      </c>
      <c r="B105" s="6">
        <v>46099.881944444503</v>
      </c>
      <c r="C105" s="2" t="s">
        <v>289</v>
      </c>
      <c r="D105" s="2" t="s">
        <v>87</v>
      </c>
      <c r="E105" s="2" t="s">
        <v>5</v>
      </c>
      <c r="F105" s="2" t="s">
        <v>9</v>
      </c>
      <c r="G105" s="2">
        <v>6</v>
      </c>
      <c r="H105" s="3">
        <v>239.27</v>
      </c>
      <c r="I105" s="4">
        <v>0</v>
      </c>
      <c r="J105" s="3">
        <v>39</v>
      </c>
      <c r="K105" s="7">
        <f t="shared" si="1"/>
        <v>39</v>
      </c>
      <c r="L105" s="2" t="s">
        <v>14</v>
      </c>
      <c r="M105" s="2" t="s">
        <v>140</v>
      </c>
      <c r="N105" s="2" t="s">
        <v>17</v>
      </c>
      <c r="O105" s="2">
        <v>35</v>
      </c>
      <c r="P105" s="2">
        <v>1</v>
      </c>
      <c r="Q105" s="2" t="str">
        <f>TEXT(tblOrders[[#This Row],[Order Date]],"mmm-yyyy")</f>
        <v>Mar-2026</v>
      </c>
      <c r="R105" s="3">
        <f>IF(N105="Cancelled",0,H105*INDEX(Assumptions!$C$7:$C$12,MATCH(F105,Assumptions!$B$7:$B$12,0)))</f>
        <v>107.67150000000001</v>
      </c>
      <c r="S105" s="3">
        <f>IF(N105="Cancelled",Assumptions!$C$19,IF(N105="Returned",Assumptions!$C$17+O105*Assumptions!$C$18+Assumptions!$C$20,Assumptions!$C$17+O105*Assumptions!$C$18))</f>
        <v>55.5</v>
      </c>
      <c r="T105" s="3">
        <f>R105+S105</f>
        <v>163.17150000000001</v>
      </c>
      <c r="U105" s="7">
        <f>K105-T105</f>
        <v>-124.17150000000001</v>
      </c>
      <c r="V105" s="7">
        <f>IF(U105&gt;0,U105,0)</f>
        <v>0</v>
      </c>
      <c r="W105" s="5">
        <f>IF(U105&gt;0,U105/H105,0)</f>
        <v>0</v>
      </c>
      <c r="X105" s="7">
        <f>IF(U105&lt;0,-U105,0)</f>
        <v>124.17150000000001</v>
      </c>
      <c r="Y105" s="5">
        <f>IF(U105&lt;0,-U105/H105,0)</f>
        <v>0.51895975258076654</v>
      </c>
      <c r="Z105" s="2" t="str">
        <f>IF(U105&gt;=0,"Profitable",IF(N105="Cancelled","Order Cancelled",IF(N105="Returned","Order Returned",IF(AND(I105&gt;=0.15,U105&lt;0),"High Discount",IF(S105&gt;H105,"Delivery Cost Exceeded Order Value","Low Order Value / Thin Margin")))))</f>
        <v>Order Returned</v>
      </c>
    </row>
    <row r="106" spans="1:26" x14ac:dyDescent="0.3">
      <c r="A106" s="2" t="s">
        <v>290</v>
      </c>
      <c r="B106" s="6">
        <v>46101.434027777803</v>
      </c>
      <c r="C106" s="2" t="s">
        <v>174</v>
      </c>
      <c r="D106" s="2" t="s">
        <v>77</v>
      </c>
      <c r="E106" s="2" t="s">
        <v>5</v>
      </c>
      <c r="F106" s="2" t="s">
        <v>9</v>
      </c>
      <c r="G106" s="2">
        <v>6</v>
      </c>
      <c r="H106" s="3">
        <v>715.87</v>
      </c>
      <c r="I106" s="4">
        <v>0.15</v>
      </c>
      <c r="J106" s="3">
        <v>29</v>
      </c>
      <c r="K106" s="7">
        <f t="shared" si="1"/>
        <v>637.48950000000002</v>
      </c>
      <c r="L106" s="2" t="s">
        <v>18</v>
      </c>
      <c r="M106" s="2" t="s">
        <v>74</v>
      </c>
      <c r="N106" s="2" t="s">
        <v>13</v>
      </c>
      <c r="O106" s="2">
        <v>46</v>
      </c>
      <c r="P106" s="2">
        <v>3</v>
      </c>
      <c r="Q106" s="2" t="str">
        <f>TEXT(tblOrders[[#This Row],[Order Date]],"mmm-yyyy")</f>
        <v>Mar-2026</v>
      </c>
      <c r="R106" s="3">
        <f>IF(N106="Cancelled",0,H106*INDEX(Assumptions!$C$7:$C$12,MATCH(F106,Assumptions!$B$7:$B$12,0)))</f>
        <v>322.14150000000001</v>
      </c>
      <c r="S106" s="3">
        <f>IF(N106="Cancelled",Assumptions!$C$19,IF(N106="Returned",Assumptions!$C$17+O106*Assumptions!$C$18+Assumptions!$C$20,Assumptions!$C$17+O106*Assumptions!$C$18))</f>
        <v>38.799999999999997</v>
      </c>
      <c r="T106" s="3">
        <f>R106+S106</f>
        <v>360.94150000000002</v>
      </c>
      <c r="U106" s="7">
        <f>K106-T106</f>
        <v>276.548</v>
      </c>
      <c r="V106" s="7">
        <f>IF(U106&gt;0,U106,0)</f>
        <v>276.548</v>
      </c>
      <c r="W106" s="5">
        <f>IF(U106&gt;0,U106/H106,0)</f>
        <v>0.38631036361350524</v>
      </c>
      <c r="X106" s="7">
        <f>IF(U106&lt;0,-U106,0)</f>
        <v>0</v>
      </c>
      <c r="Y106" s="5">
        <f>IF(U106&lt;0,-U106/H106,0)</f>
        <v>0</v>
      </c>
      <c r="Z106" s="2" t="str">
        <f>IF(U106&gt;=0,"Profitable",IF(N106="Cancelled","Order Cancelled",IF(N106="Returned","Order Returned",IF(AND(I106&gt;=0.15,U106&lt;0),"High Discount",IF(S106&gt;H106,"Delivery Cost Exceeded Order Value","Low Order Value / Thin Margin")))))</f>
        <v>Profitable</v>
      </c>
    </row>
    <row r="107" spans="1:26" x14ac:dyDescent="0.3">
      <c r="A107" s="2" t="s">
        <v>291</v>
      </c>
      <c r="B107" s="6">
        <v>46101.735416666699</v>
      </c>
      <c r="C107" s="2" t="s">
        <v>292</v>
      </c>
      <c r="D107" s="2" t="s">
        <v>97</v>
      </c>
      <c r="E107" s="2" t="s">
        <v>5</v>
      </c>
      <c r="F107" s="2" t="s">
        <v>4</v>
      </c>
      <c r="G107" s="2">
        <v>1</v>
      </c>
      <c r="H107" s="3">
        <v>1144.97</v>
      </c>
      <c r="I107" s="4">
        <v>0</v>
      </c>
      <c r="J107" s="3">
        <v>0</v>
      </c>
      <c r="K107" s="7">
        <f t="shared" si="1"/>
        <v>1144.97</v>
      </c>
      <c r="L107" s="2" t="s">
        <v>16</v>
      </c>
      <c r="M107" s="2" t="s">
        <v>94</v>
      </c>
      <c r="N107" s="2" t="s">
        <v>13</v>
      </c>
      <c r="O107" s="2">
        <v>28</v>
      </c>
      <c r="P107" s="2">
        <v>3</v>
      </c>
      <c r="Q107" s="2" t="str">
        <f>TEXT(tblOrders[[#This Row],[Order Date]],"mmm-yyyy")</f>
        <v>Mar-2026</v>
      </c>
      <c r="R107" s="3">
        <f>IF(N107="Cancelled",0,H107*INDEX(Assumptions!$C$7:$C$12,MATCH(F107,Assumptions!$B$7:$B$12,0)))</f>
        <v>893.0766000000001</v>
      </c>
      <c r="S107" s="3">
        <f>IF(N107="Cancelled",Assumptions!$C$19,IF(N107="Returned",Assumptions!$C$17+O107*Assumptions!$C$18+Assumptions!$C$20,Assumptions!$C$17+O107*Assumptions!$C$18))</f>
        <v>33.4</v>
      </c>
      <c r="T107" s="3">
        <f>R107+S107</f>
        <v>926.47660000000008</v>
      </c>
      <c r="U107" s="7">
        <f>K107-T107</f>
        <v>218.49339999999995</v>
      </c>
      <c r="V107" s="7">
        <f>IF(U107&gt;0,U107,0)</f>
        <v>218.49339999999995</v>
      </c>
      <c r="W107" s="5">
        <f>IF(U107&gt;0,U107/H107,0)</f>
        <v>0.19082893001563356</v>
      </c>
      <c r="X107" s="7">
        <f>IF(U107&lt;0,-U107,0)</f>
        <v>0</v>
      </c>
      <c r="Y107" s="5">
        <f>IF(U107&lt;0,-U107/H107,0)</f>
        <v>0</v>
      </c>
      <c r="Z107" s="2" t="str">
        <f>IF(U107&gt;=0,"Profitable",IF(N107="Cancelled","Order Cancelled",IF(N107="Returned","Order Returned",IF(AND(I107&gt;=0.15,U107&lt;0),"High Discount",IF(S107&gt;H107,"Delivery Cost Exceeded Order Value","Low Order Value / Thin Margin")))))</f>
        <v>Profitable</v>
      </c>
    </row>
    <row r="108" spans="1:26" x14ac:dyDescent="0.3">
      <c r="A108" s="2" t="s">
        <v>293</v>
      </c>
      <c r="B108" s="6">
        <v>46101.775694444397</v>
      </c>
      <c r="C108" s="2" t="s">
        <v>106</v>
      </c>
      <c r="D108" s="2" t="s">
        <v>97</v>
      </c>
      <c r="E108" s="2" t="s">
        <v>3</v>
      </c>
      <c r="F108" s="2" t="s">
        <v>6</v>
      </c>
      <c r="G108" s="2">
        <v>3</v>
      </c>
      <c r="H108" s="3">
        <v>6842.15</v>
      </c>
      <c r="I108" s="4">
        <v>0.15</v>
      </c>
      <c r="J108" s="3">
        <v>0</v>
      </c>
      <c r="K108" s="7">
        <f t="shared" si="1"/>
        <v>5815.8274999999994</v>
      </c>
      <c r="L108" s="2" t="s">
        <v>18</v>
      </c>
      <c r="M108" s="2" t="s">
        <v>70</v>
      </c>
      <c r="N108" s="2" t="s">
        <v>13</v>
      </c>
      <c r="O108" s="2">
        <v>76</v>
      </c>
      <c r="P108" s="2">
        <v>4</v>
      </c>
      <c r="Q108" s="2" t="str">
        <f>TEXT(tblOrders[[#This Row],[Order Date]],"mmm-yyyy")</f>
        <v>Mar-2026</v>
      </c>
      <c r="R108" s="3">
        <f>IF(N108="Cancelled",0,H108*INDEX(Assumptions!$C$7:$C$12,MATCH(F108,Assumptions!$B$7:$B$12,0)))</f>
        <v>6021.0919999999996</v>
      </c>
      <c r="S108" s="3">
        <f>IF(N108="Cancelled",Assumptions!$C$19,IF(N108="Returned",Assumptions!$C$17+O108*Assumptions!$C$18+Assumptions!$C$20,Assumptions!$C$17+O108*Assumptions!$C$18))</f>
        <v>47.8</v>
      </c>
      <c r="T108" s="3">
        <f>R108+S108</f>
        <v>6068.8919999999998</v>
      </c>
      <c r="U108" s="7">
        <f>K108-T108</f>
        <v>-253.06450000000041</v>
      </c>
      <c r="V108" s="7">
        <f>IF(U108&gt;0,U108,0)</f>
        <v>0</v>
      </c>
      <c r="W108" s="5">
        <f>IF(U108&gt;0,U108/H108,0)</f>
        <v>0</v>
      </c>
      <c r="X108" s="7">
        <f>IF(U108&lt;0,-U108,0)</f>
        <v>253.06450000000041</v>
      </c>
      <c r="Y108" s="5">
        <f>IF(U108&lt;0,-U108/H108,0)</f>
        <v>3.6986108167754349E-2</v>
      </c>
      <c r="Z108" s="2" t="str">
        <f>IF(U108&gt;=0,"Profitable",IF(N108="Cancelled","Order Cancelled",IF(N108="Returned","Order Returned",IF(AND(I108&gt;=0.15,U108&lt;0),"High Discount",IF(S108&gt;H108,"Delivery Cost Exceeded Order Value","Low Order Value / Thin Margin")))))</f>
        <v>High Discount</v>
      </c>
    </row>
    <row r="109" spans="1:26" x14ac:dyDescent="0.3">
      <c r="A109" s="2" t="s">
        <v>294</v>
      </c>
      <c r="B109" s="6">
        <v>46102.400694444397</v>
      </c>
      <c r="C109" s="2" t="s">
        <v>163</v>
      </c>
      <c r="D109" s="2" t="s">
        <v>97</v>
      </c>
      <c r="E109" s="2" t="s">
        <v>3</v>
      </c>
      <c r="F109" s="2" t="s">
        <v>4</v>
      </c>
      <c r="G109" s="2">
        <v>6</v>
      </c>
      <c r="H109" s="3">
        <v>1103.43</v>
      </c>
      <c r="I109" s="4">
        <v>0.05</v>
      </c>
      <c r="J109" s="3">
        <v>0</v>
      </c>
      <c r="K109" s="7">
        <f t="shared" si="1"/>
        <v>0</v>
      </c>
      <c r="L109" s="2" t="s">
        <v>19</v>
      </c>
      <c r="M109" s="2" t="s">
        <v>200</v>
      </c>
      <c r="N109" s="2" t="s">
        <v>17</v>
      </c>
      <c r="O109" s="2">
        <v>43</v>
      </c>
      <c r="P109" s="2">
        <v>1</v>
      </c>
      <c r="Q109" s="2" t="str">
        <f>TEXT(tblOrders[[#This Row],[Order Date]],"mmm-yyyy")</f>
        <v>Mar-2026</v>
      </c>
      <c r="R109" s="3">
        <f>IF(N109="Cancelled",0,H109*INDEX(Assumptions!$C$7:$C$12,MATCH(F109,Assumptions!$B$7:$B$12,0)))</f>
        <v>860.67540000000008</v>
      </c>
      <c r="S109" s="3">
        <f>IF(N109="Cancelled",Assumptions!$C$19,IF(N109="Returned",Assumptions!$C$17+O109*Assumptions!$C$18+Assumptions!$C$20,Assumptions!$C$17+O109*Assumptions!$C$18))</f>
        <v>57.9</v>
      </c>
      <c r="T109" s="3">
        <f>R109+S109</f>
        <v>918.57540000000006</v>
      </c>
      <c r="U109" s="7">
        <f>K109-T109</f>
        <v>-918.57540000000006</v>
      </c>
      <c r="V109" s="7">
        <f>IF(U109&gt;0,U109,0)</f>
        <v>0</v>
      </c>
      <c r="W109" s="5">
        <f>IF(U109&gt;0,U109/H109,0)</f>
        <v>0</v>
      </c>
      <c r="X109" s="7">
        <f>IF(U109&lt;0,-U109,0)</f>
        <v>918.57540000000006</v>
      </c>
      <c r="Y109" s="5">
        <f>IF(U109&lt;0,-U109/H109,0)</f>
        <v>0.83247274407982386</v>
      </c>
      <c r="Z109" s="2" t="str">
        <f>IF(U109&gt;=0,"Profitable",IF(N109="Cancelled","Order Cancelled",IF(N109="Returned","Order Returned",IF(AND(I109&gt;=0.15,U109&lt;0),"High Discount",IF(S109&gt;H109,"Delivery Cost Exceeded Order Value","Low Order Value / Thin Margin")))))</f>
        <v>Order Returned</v>
      </c>
    </row>
    <row r="110" spans="1:26" x14ac:dyDescent="0.3">
      <c r="A110" s="2" t="s">
        <v>295</v>
      </c>
      <c r="B110" s="6">
        <v>46102.612500000003</v>
      </c>
      <c r="C110" s="2" t="s">
        <v>296</v>
      </c>
      <c r="D110" s="2" t="s">
        <v>131</v>
      </c>
      <c r="E110" s="2" t="s">
        <v>3</v>
      </c>
      <c r="F110" s="2" t="s">
        <v>9</v>
      </c>
      <c r="G110" s="2">
        <v>5</v>
      </c>
      <c r="H110" s="3">
        <v>461.19</v>
      </c>
      <c r="I110" s="4">
        <v>0</v>
      </c>
      <c r="J110" s="3">
        <v>39</v>
      </c>
      <c r="K110" s="7">
        <f t="shared" si="1"/>
        <v>500.19</v>
      </c>
      <c r="L110" s="2" t="s">
        <v>14</v>
      </c>
      <c r="M110" s="2" t="s">
        <v>94</v>
      </c>
      <c r="N110" s="2" t="s">
        <v>13</v>
      </c>
      <c r="O110" s="2">
        <v>93</v>
      </c>
      <c r="P110" s="2">
        <v>5</v>
      </c>
      <c r="Q110" s="2" t="str">
        <f>TEXT(tblOrders[[#This Row],[Order Date]],"mmm-yyyy")</f>
        <v>Mar-2026</v>
      </c>
      <c r="R110" s="3">
        <f>IF(N110="Cancelled",0,H110*INDEX(Assumptions!$C$7:$C$12,MATCH(F110,Assumptions!$B$7:$B$12,0)))</f>
        <v>207.53550000000001</v>
      </c>
      <c r="S110" s="3">
        <f>IF(N110="Cancelled",Assumptions!$C$19,IF(N110="Returned",Assumptions!$C$17+O110*Assumptions!$C$18+Assumptions!$C$20,Assumptions!$C$17+O110*Assumptions!$C$18))</f>
        <v>52.9</v>
      </c>
      <c r="T110" s="3">
        <f>R110+S110</f>
        <v>260.43549999999999</v>
      </c>
      <c r="U110" s="7">
        <f>K110-T110</f>
        <v>239.75450000000001</v>
      </c>
      <c r="V110" s="7">
        <f>IF(U110&gt;0,U110,0)</f>
        <v>239.75450000000001</v>
      </c>
      <c r="W110" s="5">
        <f>IF(U110&gt;0,U110/H110,0)</f>
        <v>0.51986057806977604</v>
      </c>
      <c r="X110" s="7">
        <f>IF(U110&lt;0,-U110,0)</f>
        <v>0</v>
      </c>
      <c r="Y110" s="5">
        <f>IF(U110&lt;0,-U110/H110,0)</f>
        <v>0</v>
      </c>
      <c r="Z110" s="2" t="str">
        <f>IF(U110&gt;=0,"Profitable",IF(N110="Cancelled","Order Cancelled",IF(N110="Returned","Order Returned",IF(AND(I110&gt;=0.15,U110&lt;0),"High Discount",IF(S110&gt;H110,"Delivery Cost Exceeded Order Value","Low Order Value / Thin Margin")))))</f>
        <v>Profitable</v>
      </c>
    </row>
    <row r="111" spans="1:26" x14ac:dyDescent="0.3">
      <c r="A111" s="2" t="s">
        <v>297</v>
      </c>
      <c r="B111" s="6">
        <v>46102.782638888901</v>
      </c>
      <c r="C111" s="2" t="s">
        <v>298</v>
      </c>
      <c r="D111" s="2" t="s">
        <v>81</v>
      </c>
      <c r="E111" s="2" t="s">
        <v>3</v>
      </c>
      <c r="F111" s="2" t="s">
        <v>9</v>
      </c>
      <c r="G111" s="2">
        <v>1</v>
      </c>
      <c r="H111" s="3">
        <v>666.32</v>
      </c>
      <c r="I111" s="4">
        <v>0.15</v>
      </c>
      <c r="J111" s="3">
        <v>29</v>
      </c>
      <c r="K111" s="7">
        <f t="shared" si="1"/>
        <v>595.37200000000007</v>
      </c>
      <c r="L111" s="2" t="s">
        <v>16</v>
      </c>
      <c r="M111" s="2" t="s">
        <v>91</v>
      </c>
      <c r="N111" s="2" t="s">
        <v>13</v>
      </c>
      <c r="O111" s="2">
        <v>62</v>
      </c>
      <c r="P111" s="2">
        <v>5</v>
      </c>
      <c r="Q111" s="2" t="str">
        <f>TEXT(tblOrders[[#This Row],[Order Date]],"mmm-yyyy")</f>
        <v>Mar-2026</v>
      </c>
      <c r="R111" s="3">
        <f>IF(N111="Cancelled",0,H111*INDEX(Assumptions!$C$7:$C$12,MATCH(F111,Assumptions!$B$7:$B$12,0)))</f>
        <v>299.84400000000005</v>
      </c>
      <c r="S111" s="3">
        <f>IF(N111="Cancelled",Assumptions!$C$19,IF(N111="Returned",Assumptions!$C$17+O111*Assumptions!$C$18+Assumptions!$C$20,Assumptions!$C$17+O111*Assumptions!$C$18))</f>
        <v>43.599999999999994</v>
      </c>
      <c r="T111" s="3">
        <f>R111+S111</f>
        <v>343.44400000000007</v>
      </c>
      <c r="U111" s="7">
        <f>K111-T111</f>
        <v>251.928</v>
      </c>
      <c r="V111" s="7">
        <f>IF(U111&gt;0,U111,0)</f>
        <v>251.928</v>
      </c>
      <c r="W111" s="5">
        <f>IF(U111&gt;0,U111/H111,0)</f>
        <v>0.37808860607515904</v>
      </c>
      <c r="X111" s="7">
        <f>IF(U111&lt;0,-U111,0)</f>
        <v>0</v>
      </c>
      <c r="Y111" s="5">
        <f>IF(U111&lt;0,-U111/H111,0)</f>
        <v>0</v>
      </c>
      <c r="Z111" s="2" t="str">
        <f>IF(U111&gt;=0,"Profitable",IF(N111="Cancelled","Order Cancelled",IF(N111="Returned","Order Returned",IF(AND(I111&gt;=0.15,U111&lt;0),"High Discount",IF(S111&gt;H111,"Delivery Cost Exceeded Order Value","Low Order Value / Thin Margin")))))</f>
        <v>Profitable</v>
      </c>
    </row>
    <row r="112" spans="1:26" x14ac:dyDescent="0.3">
      <c r="A112" s="2" t="s">
        <v>299</v>
      </c>
      <c r="B112" s="6">
        <v>46104.8125</v>
      </c>
      <c r="C112" s="2" t="s">
        <v>300</v>
      </c>
      <c r="D112" s="2" t="s">
        <v>77</v>
      </c>
      <c r="E112" s="2" t="s">
        <v>5</v>
      </c>
      <c r="F112" s="2" t="s">
        <v>9</v>
      </c>
      <c r="G112" s="2">
        <v>4</v>
      </c>
      <c r="H112" s="3">
        <v>890.73</v>
      </c>
      <c r="I112" s="4">
        <v>0.2</v>
      </c>
      <c r="J112" s="3">
        <v>39</v>
      </c>
      <c r="K112" s="7">
        <f t="shared" si="1"/>
        <v>39</v>
      </c>
      <c r="L112" s="2" t="s">
        <v>19</v>
      </c>
      <c r="M112" s="2" t="s">
        <v>200</v>
      </c>
      <c r="N112" s="2" t="s">
        <v>17</v>
      </c>
      <c r="O112" s="2">
        <v>34</v>
      </c>
      <c r="P112" s="2">
        <v>3</v>
      </c>
      <c r="Q112" s="2" t="str">
        <f>TEXT(tblOrders[[#This Row],[Order Date]],"mmm-yyyy")</f>
        <v>Mar-2026</v>
      </c>
      <c r="R112" s="3">
        <f>IF(N112="Cancelled",0,H112*INDEX(Assumptions!$C$7:$C$12,MATCH(F112,Assumptions!$B$7:$B$12,0)))</f>
        <v>400.82850000000002</v>
      </c>
      <c r="S112" s="3">
        <f>IF(N112="Cancelled",Assumptions!$C$19,IF(N112="Returned",Assumptions!$C$17+O112*Assumptions!$C$18+Assumptions!$C$20,Assumptions!$C$17+O112*Assumptions!$C$18))</f>
        <v>55.2</v>
      </c>
      <c r="T112" s="3">
        <f>R112+S112</f>
        <v>456.02850000000001</v>
      </c>
      <c r="U112" s="7">
        <f>K112-T112</f>
        <v>-417.02850000000001</v>
      </c>
      <c r="V112" s="7">
        <f>IF(U112&gt;0,U112,0)</f>
        <v>0</v>
      </c>
      <c r="W112" s="5">
        <f>IF(U112&gt;0,U112/H112,0)</f>
        <v>0</v>
      </c>
      <c r="X112" s="7">
        <f>IF(U112&lt;0,-U112,0)</f>
        <v>417.02850000000001</v>
      </c>
      <c r="Y112" s="5">
        <f>IF(U112&lt;0,-U112/H112,0)</f>
        <v>0.468187329493786</v>
      </c>
      <c r="Z112" s="2" t="str">
        <f>IF(U112&gt;=0,"Profitable",IF(N112="Cancelled","Order Cancelled",IF(N112="Returned","Order Returned",IF(AND(I112&gt;=0.15,U112&lt;0),"High Discount",IF(S112&gt;H112,"Delivery Cost Exceeded Order Value","Low Order Value / Thin Margin")))))</f>
        <v>Order Returned</v>
      </c>
    </row>
    <row r="113" spans="1:26" x14ac:dyDescent="0.3">
      <c r="A113" s="2" t="s">
        <v>301</v>
      </c>
      <c r="B113" s="6">
        <v>46105.754166666702</v>
      </c>
      <c r="C113" s="2" t="s">
        <v>302</v>
      </c>
      <c r="D113" s="2" t="s">
        <v>131</v>
      </c>
      <c r="E113" s="2" t="s">
        <v>3</v>
      </c>
      <c r="F113" s="2" t="s">
        <v>10</v>
      </c>
      <c r="G113" s="2">
        <v>6</v>
      </c>
      <c r="H113" s="3">
        <v>783.57</v>
      </c>
      <c r="I113" s="4">
        <v>0.15</v>
      </c>
      <c r="J113" s="3">
        <v>59</v>
      </c>
      <c r="K113" s="7">
        <f t="shared" si="1"/>
        <v>725.03449999999998</v>
      </c>
      <c r="L113" s="2" t="s">
        <v>14</v>
      </c>
      <c r="M113" s="2" t="s">
        <v>88</v>
      </c>
      <c r="N113" s="2" t="s">
        <v>13</v>
      </c>
      <c r="O113" s="2">
        <v>58</v>
      </c>
      <c r="P113" s="2">
        <v>4</v>
      </c>
      <c r="Q113" s="2" t="str">
        <f>TEXT(tblOrders[[#This Row],[Order Date]],"mmm-yyyy")</f>
        <v>Mar-2026</v>
      </c>
      <c r="R113" s="3">
        <f>IF(N113="Cancelled",0,H113*INDEX(Assumptions!$C$7:$C$12,MATCH(F113,Assumptions!$B$7:$B$12,0)))</f>
        <v>548.49900000000002</v>
      </c>
      <c r="S113" s="3">
        <f>IF(N113="Cancelled",Assumptions!$C$19,IF(N113="Returned",Assumptions!$C$17+O113*Assumptions!$C$18+Assumptions!$C$20,Assumptions!$C$17+O113*Assumptions!$C$18))</f>
        <v>42.4</v>
      </c>
      <c r="T113" s="3">
        <f>R113+S113</f>
        <v>590.899</v>
      </c>
      <c r="U113" s="7">
        <f>K113-T113</f>
        <v>134.13549999999998</v>
      </c>
      <c r="V113" s="7">
        <f>IF(U113&gt;0,U113,0)</f>
        <v>134.13549999999998</v>
      </c>
      <c r="W113" s="5">
        <f>IF(U113&gt;0,U113/H113,0)</f>
        <v>0.17118508876041702</v>
      </c>
      <c r="X113" s="7">
        <f>IF(U113&lt;0,-U113,0)</f>
        <v>0</v>
      </c>
      <c r="Y113" s="5">
        <f>IF(U113&lt;0,-U113/H113,0)</f>
        <v>0</v>
      </c>
      <c r="Z113" s="2" t="str">
        <f>IF(U113&gt;=0,"Profitable",IF(N113="Cancelled","Order Cancelled",IF(N113="Returned","Order Returned",IF(AND(I113&gt;=0.15,U113&lt;0),"High Discount",IF(S113&gt;H113,"Delivery Cost Exceeded Order Value","Low Order Value / Thin Margin")))))</f>
        <v>Profitable</v>
      </c>
    </row>
    <row r="114" spans="1:26" x14ac:dyDescent="0.3">
      <c r="A114" s="2" t="s">
        <v>303</v>
      </c>
      <c r="B114" s="6">
        <v>46106.762499999997</v>
      </c>
      <c r="C114" s="2" t="s">
        <v>161</v>
      </c>
      <c r="D114" s="2" t="s">
        <v>97</v>
      </c>
      <c r="E114" s="2" t="s">
        <v>3</v>
      </c>
      <c r="F114" s="2" t="s">
        <v>6</v>
      </c>
      <c r="G114" s="2">
        <v>4</v>
      </c>
      <c r="H114" s="3">
        <v>3166.36</v>
      </c>
      <c r="I114" s="4">
        <v>0.05</v>
      </c>
      <c r="J114" s="3">
        <v>0</v>
      </c>
      <c r="K114" s="7">
        <f t="shared" si="1"/>
        <v>3008.0419999999999</v>
      </c>
      <c r="L114" s="2" t="s">
        <v>18</v>
      </c>
      <c r="M114" s="2" t="s">
        <v>149</v>
      </c>
      <c r="N114" s="2" t="s">
        <v>13</v>
      </c>
      <c r="O114" s="2">
        <v>63</v>
      </c>
      <c r="P114" s="2">
        <v>5</v>
      </c>
      <c r="Q114" s="2" t="str">
        <f>TEXT(tblOrders[[#This Row],[Order Date]],"mmm-yyyy")</f>
        <v>Mar-2026</v>
      </c>
      <c r="R114" s="3">
        <f>IF(N114="Cancelled",0,H114*INDEX(Assumptions!$C$7:$C$12,MATCH(F114,Assumptions!$B$7:$B$12,0)))</f>
        <v>2786.3968</v>
      </c>
      <c r="S114" s="3">
        <f>IF(N114="Cancelled",Assumptions!$C$19,IF(N114="Returned",Assumptions!$C$17+O114*Assumptions!$C$18+Assumptions!$C$20,Assumptions!$C$17+O114*Assumptions!$C$18))</f>
        <v>43.9</v>
      </c>
      <c r="T114" s="3">
        <f>R114+S114</f>
        <v>2830.2968000000001</v>
      </c>
      <c r="U114" s="7">
        <f>K114-T114</f>
        <v>177.74519999999984</v>
      </c>
      <c r="V114" s="7">
        <f>IF(U114&gt;0,U114,0)</f>
        <v>177.74519999999984</v>
      </c>
      <c r="W114" s="5">
        <f>IF(U114&gt;0,U114/H114,0)</f>
        <v>5.6135499437840242E-2</v>
      </c>
      <c r="X114" s="7">
        <f>IF(U114&lt;0,-U114,0)</f>
        <v>0</v>
      </c>
      <c r="Y114" s="5">
        <f>IF(U114&lt;0,-U114/H114,0)</f>
        <v>0</v>
      </c>
      <c r="Z114" s="2" t="str">
        <f>IF(U114&gt;=0,"Profitable",IF(N114="Cancelled","Order Cancelled",IF(N114="Returned","Order Returned",IF(AND(I114&gt;=0.15,U114&lt;0),"High Discount",IF(S114&gt;H114,"Delivery Cost Exceeded Order Value","Low Order Value / Thin Margin")))))</f>
        <v>Profitable</v>
      </c>
    </row>
    <row r="115" spans="1:26" x14ac:dyDescent="0.3">
      <c r="A115" s="2" t="s">
        <v>304</v>
      </c>
      <c r="B115" s="6">
        <v>46107.376388888901</v>
      </c>
      <c r="C115" s="2" t="s">
        <v>305</v>
      </c>
      <c r="D115" s="2" t="s">
        <v>69</v>
      </c>
      <c r="E115" s="2" t="s">
        <v>3</v>
      </c>
      <c r="F115" s="2" t="s">
        <v>11</v>
      </c>
      <c r="G115" s="2">
        <v>5</v>
      </c>
      <c r="H115" s="3">
        <v>2712.31</v>
      </c>
      <c r="I115" s="4">
        <v>0.15</v>
      </c>
      <c r="J115" s="3">
        <v>0</v>
      </c>
      <c r="K115" s="7">
        <f t="shared" si="1"/>
        <v>2305.4634999999998</v>
      </c>
      <c r="L115" s="2" t="s">
        <v>19</v>
      </c>
      <c r="M115" s="2" t="s">
        <v>149</v>
      </c>
      <c r="N115" s="2" t="s">
        <v>13</v>
      </c>
      <c r="O115" s="2">
        <v>66</v>
      </c>
      <c r="P115" s="2">
        <v>5</v>
      </c>
      <c r="Q115" s="2" t="str">
        <f>TEXT(tblOrders[[#This Row],[Order Date]],"mmm-yyyy")</f>
        <v>Mar-2026</v>
      </c>
      <c r="R115" s="3">
        <f>IF(N115="Cancelled",0,H115*INDEX(Assumptions!$C$7:$C$12,MATCH(F115,Assumptions!$B$7:$B$12,0)))</f>
        <v>1763.0015000000001</v>
      </c>
      <c r="S115" s="3">
        <f>IF(N115="Cancelled",Assumptions!$C$19,IF(N115="Returned",Assumptions!$C$17+O115*Assumptions!$C$18+Assumptions!$C$20,Assumptions!$C$17+O115*Assumptions!$C$18))</f>
        <v>44.8</v>
      </c>
      <c r="T115" s="3">
        <f>R115+S115</f>
        <v>1807.8015</v>
      </c>
      <c r="U115" s="7">
        <f>K115-T115</f>
        <v>497.66199999999981</v>
      </c>
      <c r="V115" s="7">
        <f>IF(U115&gt;0,U115,0)</f>
        <v>497.66199999999981</v>
      </c>
      <c r="W115" s="5">
        <f>IF(U115&gt;0,U115/H115,0)</f>
        <v>0.18348271399655638</v>
      </c>
      <c r="X115" s="7">
        <f>IF(U115&lt;0,-U115,0)</f>
        <v>0</v>
      </c>
      <c r="Y115" s="5">
        <f>IF(U115&lt;0,-U115/H115,0)</f>
        <v>0</v>
      </c>
      <c r="Z115" s="2" t="str">
        <f>IF(U115&gt;=0,"Profitable",IF(N115="Cancelled","Order Cancelled",IF(N115="Returned","Order Returned",IF(AND(I115&gt;=0.15,U115&lt;0),"High Discount",IF(S115&gt;H115,"Delivery Cost Exceeded Order Value","Low Order Value / Thin Margin")))))</f>
        <v>Profitable</v>
      </c>
    </row>
    <row r="116" spans="1:26" x14ac:dyDescent="0.3">
      <c r="A116" s="2" t="s">
        <v>306</v>
      </c>
      <c r="B116" s="6">
        <v>46107.8125</v>
      </c>
      <c r="C116" s="2" t="s">
        <v>166</v>
      </c>
      <c r="D116" s="2" t="s">
        <v>87</v>
      </c>
      <c r="E116" s="2" t="s">
        <v>5</v>
      </c>
      <c r="F116" s="2" t="s">
        <v>4</v>
      </c>
      <c r="G116" s="2">
        <v>1</v>
      </c>
      <c r="H116" s="3">
        <v>1162.74</v>
      </c>
      <c r="I116" s="4">
        <v>0</v>
      </c>
      <c r="J116" s="3">
        <v>0</v>
      </c>
      <c r="K116" s="7">
        <f t="shared" si="1"/>
        <v>1162.74</v>
      </c>
      <c r="L116" s="2" t="s">
        <v>19</v>
      </c>
      <c r="M116" s="2" t="s">
        <v>98</v>
      </c>
      <c r="N116" s="2" t="s">
        <v>13</v>
      </c>
      <c r="O116" s="2">
        <v>78</v>
      </c>
      <c r="P116" s="2">
        <v>4</v>
      </c>
      <c r="Q116" s="2" t="str">
        <f>TEXT(tblOrders[[#This Row],[Order Date]],"mmm-yyyy")</f>
        <v>Mar-2026</v>
      </c>
      <c r="R116" s="3">
        <f>IF(N116="Cancelled",0,H116*INDEX(Assumptions!$C$7:$C$12,MATCH(F116,Assumptions!$B$7:$B$12,0)))</f>
        <v>906.93720000000008</v>
      </c>
      <c r="S116" s="3">
        <f>IF(N116="Cancelled",Assumptions!$C$19,IF(N116="Returned",Assumptions!$C$17+O116*Assumptions!$C$18+Assumptions!$C$20,Assumptions!$C$17+O116*Assumptions!$C$18))</f>
        <v>48.4</v>
      </c>
      <c r="T116" s="3">
        <f>R116+S116</f>
        <v>955.33720000000005</v>
      </c>
      <c r="U116" s="7">
        <f>K116-T116</f>
        <v>207.40279999999996</v>
      </c>
      <c r="V116" s="7">
        <f>IF(U116&gt;0,U116,0)</f>
        <v>207.40279999999996</v>
      </c>
      <c r="W116" s="5">
        <f>IF(U116&gt;0,U116/H116,0)</f>
        <v>0.17837418511447095</v>
      </c>
      <c r="X116" s="7">
        <f>IF(U116&lt;0,-U116,0)</f>
        <v>0</v>
      </c>
      <c r="Y116" s="5">
        <f>IF(U116&lt;0,-U116/H116,0)</f>
        <v>0</v>
      </c>
      <c r="Z116" s="2" t="str">
        <f>IF(U116&gt;=0,"Profitable",IF(N116="Cancelled","Order Cancelled",IF(N116="Returned","Order Returned",IF(AND(I116&gt;=0.15,U116&lt;0),"High Discount",IF(S116&gt;H116,"Delivery Cost Exceeded Order Value","Low Order Value / Thin Margin")))))</f>
        <v>Profitable</v>
      </c>
    </row>
    <row r="117" spans="1:26" x14ac:dyDescent="0.3">
      <c r="A117" s="2" t="s">
        <v>307</v>
      </c>
      <c r="B117" s="6">
        <v>46107.852083333302</v>
      </c>
      <c r="C117" s="2" t="s">
        <v>308</v>
      </c>
      <c r="D117" s="2" t="s">
        <v>81</v>
      </c>
      <c r="E117" s="2" t="s">
        <v>3</v>
      </c>
      <c r="F117" s="2" t="s">
        <v>4</v>
      </c>
      <c r="G117" s="2">
        <v>2</v>
      </c>
      <c r="H117" s="3">
        <v>686.21</v>
      </c>
      <c r="I117" s="4">
        <v>0.1</v>
      </c>
      <c r="J117" s="3">
        <v>39</v>
      </c>
      <c r="K117" s="7">
        <f t="shared" si="1"/>
        <v>656.58900000000006</v>
      </c>
      <c r="L117" s="2" t="s">
        <v>19</v>
      </c>
      <c r="M117" s="2" t="s">
        <v>200</v>
      </c>
      <c r="N117" s="2" t="s">
        <v>13</v>
      </c>
      <c r="O117" s="2">
        <v>77</v>
      </c>
      <c r="P117" s="2">
        <v>5</v>
      </c>
      <c r="Q117" s="2" t="str">
        <f>TEXT(tblOrders[[#This Row],[Order Date]],"mmm-yyyy")</f>
        <v>Mar-2026</v>
      </c>
      <c r="R117" s="3">
        <f>IF(N117="Cancelled",0,H117*INDEX(Assumptions!$C$7:$C$12,MATCH(F117,Assumptions!$B$7:$B$12,0)))</f>
        <v>535.24380000000008</v>
      </c>
      <c r="S117" s="3">
        <f>IF(N117="Cancelled",Assumptions!$C$19,IF(N117="Returned",Assumptions!$C$17+O117*Assumptions!$C$18+Assumptions!$C$20,Assumptions!$C$17+O117*Assumptions!$C$18))</f>
        <v>48.099999999999994</v>
      </c>
      <c r="T117" s="3">
        <f>R117+S117</f>
        <v>583.3438000000001</v>
      </c>
      <c r="U117" s="7">
        <f>K117-T117</f>
        <v>73.245199999999954</v>
      </c>
      <c r="V117" s="7">
        <f>IF(U117&gt;0,U117,0)</f>
        <v>73.245199999999954</v>
      </c>
      <c r="W117" s="5">
        <f>IF(U117&gt;0,U117/H117,0)</f>
        <v>0.10673875344282355</v>
      </c>
      <c r="X117" s="7">
        <f>IF(U117&lt;0,-U117,0)</f>
        <v>0</v>
      </c>
      <c r="Y117" s="5">
        <f>IF(U117&lt;0,-U117/H117,0)</f>
        <v>0</v>
      </c>
      <c r="Z117" s="2" t="str">
        <f>IF(U117&gt;=0,"Profitable",IF(N117="Cancelled","Order Cancelled",IF(N117="Returned","Order Returned",IF(AND(I117&gt;=0.15,U117&lt;0),"High Discount",IF(S117&gt;H117,"Delivery Cost Exceeded Order Value","Low Order Value / Thin Margin")))))</f>
        <v>Profitable</v>
      </c>
    </row>
    <row r="118" spans="1:26" x14ac:dyDescent="0.3">
      <c r="A118" s="2" t="s">
        <v>309</v>
      </c>
      <c r="B118" s="6">
        <v>46107.904861111099</v>
      </c>
      <c r="C118" s="2" t="s">
        <v>310</v>
      </c>
      <c r="D118" s="2" t="s">
        <v>116</v>
      </c>
      <c r="E118" s="2" t="s">
        <v>3</v>
      </c>
      <c r="F118" s="2" t="s">
        <v>10</v>
      </c>
      <c r="G118" s="2">
        <v>3</v>
      </c>
      <c r="H118" s="3">
        <v>970.05</v>
      </c>
      <c r="I118" s="4">
        <v>0.2</v>
      </c>
      <c r="J118" s="3">
        <v>59</v>
      </c>
      <c r="K118" s="7">
        <f t="shared" si="1"/>
        <v>835.04</v>
      </c>
      <c r="L118" s="2" t="s">
        <v>14</v>
      </c>
      <c r="M118" s="2" t="s">
        <v>70</v>
      </c>
      <c r="N118" s="2" t="s">
        <v>13</v>
      </c>
      <c r="O118" s="2">
        <v>48</v>
      </c>
      <c r="P118" s="2">
        <v>5</v>
      </c>
      <c r="Q118" s="2" t="str">
        <f>TEXT(tblOrders[[#This Row],[Order Date]],"mmm-yyyy")</f>
        <v>Mar-2026</v>
      </c>
      <c r="R118" s="3">
        <f>IF(N118="Cancelled",0,H118*INDEX(Assumptions!$C$7:$C$12,MATCH(F118,Assumptions!$B$7:$B$12,0)))</f>
        <v>679.03499999999997</v>
      </c>
      <c r="S118" s="3">
        <f>IF(N118="Cancelled",Assumptions!$C$19,IF(N118="Returned",Assumptions!$C$17+O118*Assumptions!$C$18+Assumptions!$C$20,Assumptions!$C$17+O118*Assumptions!$C$18))</f>
        <v>39.4</v>
      </c>
      <c r="T118" s="3">
        <f>R118+S118</f>
        <v>718.43499999999995</v>
      </c>
      <c r="U118" s="7">
        <f>K118-T118</f>
        <v>116.60500000000002</v>
      </c>
      <c r="V118" s="7">
        <f>IF(U118&gt;0,U118,0)</f>
        <v>116.60500000000002</v>
      </c>
      <c r="W118" s="5">
        <f>IF(U118&gt;0,U118/H118,0)</f>
        <v>0.12020514406473895</v>
      </c>
      <c r="X118" s="7">
        <f>IF(U118&lt;0,-U118,0)</f>
        <v>0</v>
      </c>
      <c r="Y118" s="5">
        <f>IF(U118&lt;0,-U118/H118,0)</f>
        <v>0</v>
      </c>
      <c r="Z118" s="2" t="str">
        <f>IF(U118&gt;=0,"Profitable",IF(N118="Cancelled","Order Cancelled",IF(N118="Returned","Order Returned",IF(AND(I118&gt;=0.15,U118&lt;0),"High Discount",IF(S118&gt;H118,"Delivery Cost Exceeded Order Value","Low Order Value / Thin Margin")))))</f>
        <v>Profitable</v>
      </c>
    </row>
    <row r="119" spans="1:26" x14ac:dyDescent="0.3">
      <c r="A119" s="2" t="s">
        <v>311</v>
      </c>
      <c r="B119" s="6">
        <v>46109.438194444498</v>
      </c>
      <c r="C119" s="2" t="s">
        <v>300</v>
      </c>
      <c r="D119" s="2" t="s">
        <v>97</v>
      </c>
      <c r="E119" s="2" t="s">
        <v>3</v>
      </c>
      <c r="F119" s="2" t="s">
        <v>9</v>
      </c>
      <c r="G119" s="2">
        <v>5</v>
      </c>
      <c r="H119" s="3">
        <v>313.38</v>
      </c>
      <c r="I119" s="4">
        <v>0</v>
      </c>
      <c r="J119" s="3">
        <v>59</v>
      </c>
      <c r="K119" s="7">
        <f t="shared" si="1"/>
        <v>372.38</v>
      </c>
      <c r="L119" s="2" t="s">
        <v>14</v>
      </c>
      <c r="M119" s="2" t="s">
        <v>70</v>
      </c>
      <c r="N119" s="2" t="s">
        <v>13</v>
      </c>
      <c r="O119" s="2">
        <v>41</v>
      </c>
      <c r="P119" s="2">
        <v>5</v>
      </c>
      <c r="Q119" s="2" t="str">
        <f>TEXT(tblOrders[[#This Row],[Order Date]],"mmm-yyyy")</f>
        <v>Mar-2026</v>
      </c>
      <c r="R119" s="3">
        <f>IF(N119="Cancelled",0,H119*INDEX(Assumptions!$C$7:$C$12,MATCH(F119,Assumptions!$B$7:$B$12,0)))</f>
        <v>141.02100000000002</v>
      </c>
      <c r="S119" s="3">
        <f>IF(N119="Cancelled",Assumptions!$C$19,IF(N119="Returned",Assumptions!$C$17+O119*Assumptions!$C$18+Assumptions!$C$20,Assumptions!$C$17+O119*Assumptions!$C$18))</f>
        <v>37.299999999999997</v>
      </c>
      <c r="T119" s="3">
        <f>R119+S119</f>
        <v>178.32100000000003</v>
      </c>
      <c r="U119" s="7">
        <f>K119-T119</f>
        <v>194.05899999999997</v>
      </c>
      <c r="V119" s="7">
        <f>IF(U119&gt;0,U119,0)</f>
        <v>194.05899999999997</v>
      </c>
      <c r="W119" s="5">
        <f>IF(U119&gt;0,U119/H119,0)</f>
        <v>0.61924500606292676</v>
      </c>
      <c r="X119" s="7">
        <f>IF(U119&lt;0,-U119,0)</f>
        <v>0</v>
      </c>
      <c r="Y119" s="5">
        <f>IF(U119&lt;0,-U119/H119,0)</f>
        <v>0</v>
      </c>
      <c r="Z119" s="2" t="str">
        <f>IF(U119&gt;=0,"Profitable",IF(N119="Cancelled","Order Cancelled",IF(N119="Returned","Order Returned",IF(AND(I119&gt;=0.15,U119&lt;0),"High Discount",IF(S119&gt;H119,"Delivery Cost Exceeded Order Value","Low Order Value / Thin Margin")))))</f>
        <v>Profitable</v>
      </c>
    </row>
    <row r="120" spans="1:26" x14ac:dyDescent="0.3">
      <c r="A120" s="2" t="s">
        <v>312</v>
      </c>
      <c r="B120" s="6">
        <v>46111.354166666701</v>
      </c>
      <c r="C120" s="2" t="s">
        <v>313</v>
      </c>
      <c r="D120" s="2" t="s">
        <v>77</v>
      </c>
      <c r="E120" s="2" t="s">
        <v>3</v>
      </c>
      <c r="F120" s="2" t="s">
        <v>4</v>
      </c>
      <c r="G120" s="2">
        <v>1</v>
      </c>
      <c r="H120" s="3">
        <v>271.87</v>
      </c>
      <c r="I120" s="4">
        <v>0.15</v>
      </c>
      <c r="J120" s="3">
        <v>39</v>
      </c>
      <c r="K120" s="7">
        <f t="shared" si="1"/>
        <v>270.08949999999999</v>
      </c>
      <c r="L120" s="2" t="s">
        <v>18</v>
      </c>
      <c r="M120" s="2" t="s">
        <v>91</v>
      </c>
      <c r="N120" s="2" t="s">
        <v>13</v>
      </c>
      <c r="O120" s="2">
        <v>76</v>
      </c>
      <c r="P120" s="2">
        <v>3</v>
      </c>
      <c r="Q120" s="2" t="str">
        <f>TEXT(tblOrders[[#This Row],[Order Date]],"mmm-yyyy")</f>
        <v>Mar-2026</v>
      </c>
      <c r="R120" s="3">
        <f>IF(N120="Cancelled",0,H120*INDEX(Assumptions!$C$7:$C$12,MATCH(F120,Assumptions!$B$7:$B$12,0)))</f>
        <v>212.05860000000001</v>
      </c>
      <c r="S120" s="3">
        <f>IF(N120="Cancelled",Assumptions!$C$19,IF(N120="Returned",Assumptions!$C$17+O120*Assumptions!$C$18+Assumptions!$C$20,Assumptions!$C$17+O120*Assumptions!$C$18))</f>
        <v>47.8</v>
      </c>
      <c r="T120" s="3">
        <f>R120+S120</f>
        <v>259.85860000000002</v>
      </c>
      <c r="U120" s="7">
        <f>K120-T120</f>
        <v>10.230899999999963</v>
      </c>
      <c r="V120" s="7">
        <f>IF(U120&gt;0,U120,0)</f>
        <v>10.230899999999963</v>
      </c>
      <c r="W120" s="5">
        <f>IF(U120&gt;0,U120/H120,0)</f>
        <v>3.7631588626917137E-2</v>
      </c>
      <c r="X120" s="7">
        <f>IF(U120&lt;0,-U120,0)</f>
        <v>0</v>
      </c>
      <c r="Y120" s="5">
        <f>IF(U120&lt;0,-U120/H120,0)</f>
        <v>0</v>
      </c>
      <c r="Z120" s="2" t="str">
        <f>IF(U120&gt;=0,"Profitable",IF(N120="Cancelled","Order Cancelled",IF(N120="Returned","Order Returned",IF(AND(I120&gt;=0.15,U120&lt;0),"High Discount",IF(S120&gt;H120,"Delivery Cost Exceeded Order Value","Low Order Value / Thin Margin")))))</f>
        <v>Profitable</v>
      </c>
    </row>
    <row r="121" spans="1:26" x14ac:dyDescent="0.3">
      <c r="A121" s="2" t="s">
        <v>314</v>
      </c>
      <c r="B121" s="6">
        <v>46111.588194444397</v>
      </c>
      <c r="C121" s="2" t="s">
        <v>315</v>
      </c>
      <c r="D121" s="2" t="s">
        <v>69</v>
      </c>
      <c r="E121" s="2" t="s">
        <v>3</v>
      </c>
      <c r="F121" s="2" t="s">
        <v>6</v>
      </c>
      <c r="G121" s="2">
        <v>4</v>
      </c>
      <c r="H121" s="3">
        <v>8282.4599999999991</v>
      </c>
      <c r="I121" s="4">
        <v>0</v>
      </c>
      <c r="J121" s="3">
        <v>0</v>
      </c>
      <c r="K121" s="7">
        <f t="shared" si="1"/>
        <v>8282.4599999999991</v>
      </c>
      <c r="L121" s="2" t="s">
        <v>14</v>
      </c>
      <c r="M121" s="2" t="s">
        <v>132</v>
      </c>
      <c r="N121" s="2" t="s">
        <v>13</v>
      </c>
      <c r="O121" s="2">
        <v>94</v>
      </c>
      <c r="P121" s="2">
        <v>3</v>
      </c>
      <c r="Q121" s="2" t="str">
        <f>TEXT(tblOrders[[#This Row],[Order Date]],"mmm-yyyy")</f>
        <v>Mar-2026</v>
      </c>
      <c r="R121" s="3">
        <f>IF(N121="Cancelled",0,H121*INDEX(Assumptions!$C$7:$C$12,MATCH(F121,Assumptions!$B$7:$B$12,0)))</f>
        <v>7288.5647999999992</v>
      </c>
      <c r="S121" s="3">
        <f>IF(N121="Cancelled",Assumptions!$C$19,IF(N121="Returned",Assumptions!$C$17+O121*Assumptions!$C$18+Assumptions!$C$20,Assumptions!$C$17+O121*Assumptions!$C$18))</f>
        <v>53.2</v>
      </c>
      <c r="T121" s="3">
        <f>R121+S121</f>
        <v>7341.764799999999</v>
      </c>
      <c r="U121" s="7">
        <f>K121-T121</f>
        <v>940.69520000000011</v>
      </c>
      <c r="V121" s="7">
        <f>IF(U121&gt;0,U121,0)</f>
        <v>940.69520000000011</v>
      </c>
      <c r="W121" s="5">
        <f>IF(U121&gt;0,U121/H121,0)</f>
        <v>0.1135767875727743</v>
      </c>
      <c r="X121" s="7">
        <f>IF(U121&lt;0,-U121,0)</f>
        <v>0</v>
      </c>
      <c r="Y121" s="5">
        <f>IF(U121&lt;0,-U121/H121,0)</f>
        <v>0</v>
      </c>
      <c r="Z121" s="2" t="str">
        <f>IF(U121&gt;=0,"Profitable",IF(N121="Cancelled","Order Cancelled",IF(N121="Returned","Order Returned",IF(AND(I121&gt;=0.15,U121&lt;0),"High Discount",IF(S121&gt;H121,"Delivery Cost Exceeded Order Value","Low Order Value / Thin Margin")))))</f>
        <v>Profitable</v>
      </c>
    </row>
    <row r="122" spans="1:26" x14ac:dyDescent="0.3">
      <c r="A122" s="2" t="s">
        <v>316</v>
      </c>
      <c r="B122" s="6">
        <v>46113.534722222197</v>
      </c>
      <c r="C122" s="2" t="s">
        <v>317</v>
      </c>
      <c r="D122" s="2" t="s">
        <v>116</v>
      </c>
      <c r="E122" s="2" t="s">
        <v>3</v>
      </c>
      <c r="F122" s="2" t="s">
        <v>6</v>
      </c>
      <c r="G122" s="2">
        <v>4</v>
      </c>
      <c r="H122" s="3">
        <v>7317.77</v>
      </c>
      <c r="I122" s="4">
        <v>0</v>
      </c>
      <c r="J122" s="3">
        <v>0</v>
      </c>
      <c r="K122" s="7">
        <f t="shared" si="1"/>
        <v>7317.77</v>
      </c>
      <c r="L122" s="2" t="s">
        <v>16</v>
      </c>
      <c r="M122" s="2" t="s">
        <v>113</v>
      </c>
      <c r="N122" s="2" t="s">
        <v>13</v>
      </c>
      <c r="O122" s="2">
        <v>28</v>
      </c>
      <c r="P122" s="2">
        <v>5</v>
      </c>
      <c r="Q122" s="2" t="str">
        <f>TEXT(tblOrders[[#This Row],[Order Date]],"mmm-yyyy")</f>
        <v>Apr-2026</v>
      </c>
      <c r="R122" s="3">
        <f>IF(N122="Cancelled",0,H122*INDEX(Assumptions!$C$7:$C$12,MATCH(F122,Assumptions!$B$7:$B$12,0)))</f>
        <v>6439.6376</v>
      </c>
      <c r="S122" s="3">
        <f>IF(N122="Cancelled",Assumptions!$C$19,IF(N122="Returned",Assumptions!$C$17+O122*Assumptions!$C$18+Assumptions!$C$20,Assumptions!$C$17+O122*Assumptions!$C$18))</f>
        <v>33.4</v>
      </c>
      <c r="T122" s="3">
        <f>R122+S122</f>
        <v>6473.0375999999997</v>
      </c>
      <c r="U122" s="7">
        <f>K122-T122</f>
        <v>844.73240000000078</v>
      </c>
      <c r="V122" s="7">
        <f>IF(U122&gt;0,U122,0)</f>
        <v>844.73240000000078</v>
      </c>
      <c r="W122" s="5">
        <f>IF(U122&gt;0,U122/H122,0)</f>
        <v>0.11543576800036087</v>
      </c>
      <c r="X122" s="7">
        <f>IF(U122&lt;0,-U122,0)</f>
        <v>0</v>
      </c>
      <c r="Y122" s="5">
        <f>IF(U122&lt;0,-U122/H122,0)</f>
        <v>0</v>
      </c>
      <c r="Z122" s="2" t="str">
        <f>IF(U122&gt;=0,"Profitable",IF(N122="Cancelled","Order Cancelled",IF(N122="Returned","Order Returned",IF(AND(I122&gt;=0.15,U122&lt;0),"High Discount",IF(S122&gt;H122,"Delivery Cost Exceeded Order Value","Low Order Value / Thin Margin")))))</f>
        <v>Profitable</v>
      </c>
    </row>
    <row r="123" spans="1:26" x14ac:dyDescent="0.3">
      <c r="A123" s="2" t="s">
        <v>318</v>
      </c>
      <c r="B123" s="6">
        <v>46114.836111111101</v>
      </c>
      <c r="C123" s="2" t="s">
        <v>319</v>
      </c>
      <c r="D123" s="2" t="s">
        <v>77</v>
      </c>
      <c r="E123" s="2" t="s">
        <v>5</v>
      </c>
      <c r="F123" s="2" t="s">
        <v>6</v>
      </c>
      <c r="G123" s="2">
        <v>6</v>
      </c>
      <c r="H123" s="3">
        <v>2272.0300000000002</v>
      </c>
      <c r="I123" s="4">
        <v>0.1</v>
      </c>
      <c r="J123" s="3">
        <v>0</v>
      </c>
      <c r="K123" s="7">
        <f t="shared" si="1"/>
        <v>2044.8270000000002</v>
      </c>
      <c r="L123" s="2" t="s">
        <v>18</v>
      </c>
      <c r="M123" s="2" t="s">
        <v>88</v>
      </c>
      <c r="N123" s="2" t="s">
        <v>13</v>
      </c>
      <c r="O123" s="2">
        <v>63</v>
      </c>
      <c r="P123" s="2">
        <v>5</v>
      </c>
      <c r="Q123" s="2" t="str">
        <f>TEXT(tblOrders[[#This Row],[Order Date]],"mmm-yyyy")</f>
        <v>Apr-2026</v>
      </c>
      <c r="R123" s="3">
        <f>IF(N123="Cancelled",0,H123*INDEX(Assumptions!$C$7:$C$12,MATCH(F123,Assumptions!$B$7:$B$12,0)))</f>
        <v>1999.3864000000001</v>
      </c>
      <c r="S123" s="3">
        <f>IF(N123="Cancelled",Assumptions!$C$19,IF(N123="Returned",Assumptions!$C$17+O123*Assumptions!$C$18+Assumptions!$C$20,Assumptions!$C$17+O123*Assumptions!$C$18))</f>
        <v>43.9</v>
      </c>
      <c r="T123" s="3">
        <f>R123+S123</f>
        <v>2043.2864000000002</v>
      </c>
      <c r="U123" s="7">
        <f>K123-T123</f>
        <v>1.5406000000000404</v>
      </c>
      <c r="V123" s="7">
        <f>IF(U123&gt;0,U123,0)</f>
        <v>1.5406000000000404</v>
      </c>
      <c r="W123" s="5">
        <f>IF(U123&gt;0,U123/H123,0)</f>
        <v>6.7807203249958857E-4</v>
      </c>
      <c r="X123" s="7">
        <f>IF(U123&lt;0,-U123,0)</f>
        <v>0</v>
      </c>
      <c r="Y123" s="5">
        <f>IF(U123&lt;0,-U123/H123,0)</f>
        <v>0</v>
      </c>
      <c r="Z123" s="2" t="str">
        <f>IF(U123&gt;=0,"Profitable",IF(N123="Cancelled","Order Cancelled",IF(N123="Returned","Order Returned",IF(AND(I123&gt;=0.15,U123&lt;0),"High Discount",IF(S123&gt;H123,"Delivery Cost Exceeded Order Value","Low Order Value / Thin Margin")))))</f>
        <v>Profitable</v>
      </c>
    </row>
    <row r="124" spans="1:26" x14ac:dyDescent="0.3">
      <c r="A124" s="2" t="s">
        <v>320</v>
      </c>
      <c r="B124" s="6">
        <v>46115.378472222197</v>
      </c>
      <c r="C124" s="2" t="s">
        <v>321</v>
      </c>
      <c r="D124" s="2" t="s">
        <v>97</v>
      </c>
      <c r="E124" s="2" t="s">
        <v>3</v>
      </c>
      <c r="F124" s="2" t="s">
        <v>4</v>
      </c>
      <c r="G124" s="2">
        <v>3</v>
      </c>
      <c r="H124" s="3">
        <v>949.41</v>
      </c>
      <c r="I124" s="4">
        <v>0</v>
      </c>
      <c r="J124" s="3">
        <v>39</v>
      </c>
      <c r="K124" s="7">
        <f t="shared" si="1"/>
        <v>988.41</v>
      </c>
      <c r="L124" s="2" t="s">
        <v>14</v>
      </c>
      <c r="M124" s="2" t="s">
        <v>82</v>
      </c>
      <c r="N124" s="2" t="s">
        <v>13</v>
      </c>
      <c r="O124" s="2">
        <v>75</v>
      </c>
      <c r="P124" s="2">
        <v>5</v>
      </c>
      <c r="Q124" s="2" t="str">
        <f>TEXT(tblOrders[[#This Row],[Order Date]],"mmm-yyyy")</f>
        <v>Apr-2026</v>
      </c>
      <c r="R124" s="3">
        <f>IF(N124="Cancelled",0,H124*INDEX(Assumptions!$C$7:$C$12,MATCH(F124,Assumptions!$B$7:$B$12,0)))</f>
        <v>740.53980000000001</v>
      </c>
      <c r="S124" s="3">
        <f>IF(N124="Cancelled",Assumptions!$C$19,IF(N124="Returned",Assumptions!$C$17+O124*Assumptions!$C$18+Assumptions!$C$20,Assumptions!$C$17+O124*Assumptions!$C$18))</f>
        <v>47.5</v>
      </c>
      <c r="T124" s="3">
        <f>R124+S124</f>
        <v>788.03980000000001</v>
      </c>
      <c r="U124" s="7">
        <f>K124-T124</f>
        <v>200.37019999999995</v>
      </c>
      <c r="V124" s="7">
        <f>IF(U124&gt;0,U124,0)</f>
        <v>200.37019999999995</v>
      </c>
      <c r="W124" s="5">
        <f>IF(U124&gt;0,U124/H124,0)</f>
        <v>0.2110470713390421</v>
      </c>
      <c r="X124" s="7">
        <f>IF(U124&lt;0,-U124,0)</f>
        <v>0</v>
      </c>
      <c r="Y124" s="5">
        <f>IF(U124&lt;0,-U124/H124,0)</f>
        <v>0</v>
      </c>
      <c r="Z124" s="2" t="str">
        <f>IF(U124&gt;=0,"Profitable",IF(N124="Cancelled","Order Cancelled",IF(N124="Returned","Order Returned",IF(AND(I124&gt;=0.15,U124&lt;0),"High Discount",IF(S124&gt;H124,"Delivery Cost Exceeded Order Value","Low Order Value / Thin Margin")))))</f>
        <v>Profitable</v>
      </c>
    </row>
    <row r="125" spans="1:26" x14ac:dyDescent="0.3">
      <c r="A125" s="2" t="s">
        <v>322</v>
      </c>
      <c r="B125" s="6">
        <v>46115.608333333301</v>
      </c>
      <c r="C125" s="2" t="s">
        <v>323</v>
      </c>
      <c r="D125" s="2" t="s">
        <v>87</v>
      </c>
      <c r="E125" s="2" t="s">
        <v>3</v>
      </c>
      <c r="F125" s="2" t="s">
        <v>4</v>
      </c>
      <c r="G125" s="2">
        <v>4</v>
      </c>
      <c r="H125" s="3">
        <v>1146.26</v>
      </c>
      <c r="I125" s="4">
        <v>0</v>
      </c>
      <c r="J125" s="3">
        <v>0</v>
      </c>
      <c r="K125" s="7">
        <f t="shared" si="1"/>
        <v>1146.26</v>
      </c>
      <c r="L125" s="2" t="s">
        <v>19</v>
      </c>
      <c r="M125" s="2" t="s">
        <v>91</v>
      </c>
      <c r="N125" s="2" t="s">
        <v>13</v>
      </c>
      <c r="O125" s="2">
        <v>91</v>
      </c>
      <c r="P125" s="2">
        <v>3</v>
      </c>
      <c r="Q125" s="2" t="str">
        <f>TEXT(tblOrders[[#This Row],[Order Date]],"mmm-yyyy")</f>
        <v>Apr-2026</v>
      </c>
      <c r="R125" s="3">
        <f>IF(N125="Cancelled",0,H125*INDEX(Assumptions!$C$7:$C$12,MATCH(F125,Assumptions!$B$7:$B$12,0)))</f>
        <v>894.08280000000002</v>
      </c>
      <c r="S125" s="3">
        <f>IF(N125="Cancelled",Assumptions!$C$19,IF(N125="Returned",Assumptions!$C$17+O125*Assumptions!$C$18+Assumptions!$C$20,Assumptions!$C$17+O125*Assumptions!$C$18))</f>
        <v>52.3</v>
      </c>
      <c r="T125" s="3">
        <f>R125+S125</f>
        <v>946.38279999999997</v>
      </c>
      <c r="U125" s="7">
        <f>K125-T125</f>
        <v>199.87720000000002</v>
      </c>
      <c r="V125" s="7">
        <f>IF(U125&gt;0,U125,0)</f>
        <v>199.87720000000002</v>
      </c>
      <c r="W125" s="5">
        <f>IF(U125&gt;0,U125/H125,0)</f>
        <v>0.17437335334042889</v>
      </c>
      <c r="X125" s="7">
        <f>IF(U125&lt;0,-U125,0)</f>
        <v>0</v>
      </c>
      <c r="Y125" s="5">
        <f>IF(U125&lt;0,-U125/H125,0)</f>
        <v>0</v>
      </c>
      <c r="Z125" s="2" t="str">
        <f>IF(U125&gt;=0,"Profitable",IF(N125="Cancelled","Order Cancelled",IF(N125="Returned","Order Returned",IF(AND(I125&gt;=0.15,U125&lt;0),"High Discount",IF(S125&gt;H125,"Delivery Cost Exceeded Order Value","Low Order Value / Thin Margin")))))</f>
        <v>Profitable</v>
      </c>
    </row>
    <row r="126" spans="1:26" x14ac:dyDescent="0.3">
      <c r="A126" s="2" t="s">
        <v>324</v>
      </c>
      <c r="B126" s="6">
        <v>46117.887499999997</v>
      </c>
      <c r="C126" s="2" t="s">
        <v>325</v>
      </c>
      <c r="D126" s="2" t="s">
        <v>87</v>
      </c>
      <c r="E126" s="2" t="s">
        <v>5</v>
      </c>
      <c r="F126" s="2" t="s">
        <v>4</v>
      </c>
      <c r="G126" s="2">
        <v>1</v>
      </c>
      <c r="H126" s="3">
        <v>795.76</v>
      </c>
      <c r="I126" s="4">
        <v>0.1</v>
      </c>
      <c r="J126" s="3">
        <v>59</v>
      </c>
      <c r="K126" s="7">
        <f t="shared" si="1"/>
        <v>775.18399999999997</v>
      </c>
      <c r="L126" s="2" t="s">
        <v>19</v>
      </c>
      <c r="M126" s="2" t="s">
        <v>200</v>
      </c>
      <c r="N126" s="2" t="s">
        <v>13</v>
      </c>
      <c r="O126" s="2">
        <v>23</v>
      </c>
      <c r="P126" s="2">
        <v>4</v>
      </c>
      <c r="Q126" s="2" t="str">
        <f>TEXT(tblOrders[[#This Row],[Order Date]],"mmm-yyyy")</f>
        <v>Apr-2026</v>
      </c>
      <c r="R126" s="3">
        <f>IF(N126="Cancelled",0,H126*INDEX(Assumptions!$C$7:$C$12,MATCH(F126,Assumptions!$B$7:$B$12,0)))</f>
        <v>620.69280000000003</v>
      </c>
      <c r="S126" s="3">
        <f>IF(N126="Cancelled",Assumptions!$C$19,IF(N126="Returned",Assumptions!$C$17+O126*Assumptions!$C$18+Assumptions!$C$20,Assumptions!$C$17+O126*Assumptions!$C$18))</f>
        <v>31.9</v>
      </c>
      <c r="T126" s="3">
        <f>R126+S126</f>
        <v>652.59280000000001</v>
      </c>
      <c r="U126" s="7">
        <f>K126-T126</f>
        <v>122.59119999999996</v>
      </c>
      <c r="V126" s="7">
        <f>IF(U126&gt;0,U126,0)</f>
        <v>122.59119999999996</v>
      </c>
      <c r="W126" s="5">
        <f>IF(U126&gt;0,U126/H126,0)</f>
        <v>0.15405549411882974</v>
      </c>
      <c r="X126" s="7">
        <f>IF(U126&lt;0,-U126,0)</f>
        <v>0</v>
      </c>
      <c r="Y126" s="5">
        <f>IF(U126&lt;0,-U126/H126,0)</f>
        <v>0</v>
      </c>
      <c r="Z126" s="2" t="str">
        <f>IF(U126&gt;=0,"Profitable",IF(N126="Cancelled","Order Cancelled",IF(N126="Returned","Order Returned",IF(AND(I126&gt;=0.15,U126&lt;0),"High Discount",IF(S126&gt;H126,"Delivery Cost Exceeded Order Value","Low Order Value / Thin Margin")))))</f>
        <v>Profitable</v>
      </c>
    </row>
    <row r="127" spans="1:26" x14ac:dyDescent="0.3">
      <c r="A127" s="2" t="s">
        <v>326</v>
      </c>
      <c r="B127" s="6">
        <v>46118.449305555601</v>
      </c>
      <c r="C127" s="2" t="s">
        <v>327</v>
      </c>
      <c r="D127" s="2" t="s">
        <v>77</v>
      </c>
      <c r="E127" s="2" t="s">
        <v>3</v>
      </c>
      <c r="F127" s="2" t="s">
        <v>9</v>
      </c>
      <c r="G127" s="2">
        <v>1</v>
      </c>
      <c r="H127" s="3">
        <v>717.14</v>
      </c>
      <c r="I127" s="4">
        <v>0</v>
      </c>
      <c r="J127" s="3">
        <v>49</v>
      </c>
      <c r="K127" s="7">
        <f t="shared" si="1"/>
        <v>766.14</v>
      </c>
      <c r="L127" s="2" t="s">
        <v>19</v>
      </c>
      <c r="M127" s="2" t="s">
        <v>200</v>
      </c>
      <c r="N127" s="2" t="s">
        <v>13</v>
      </c>
      <c r="O127" s="2">
        <v>26</v>
      </c>
      <c r="P127" s="2">
        <v>4</v>
      </c>
      <c r="Q127" s="2" t="str">
        <f>TEXT(tblOrders[[#This Row],[Order Date]],"mmm-yyyy")</f>
        <v>Apr-2026</v>
      </c>
      <c r="R127" s="3">
        <f>IF(N127="Cancelled",0,H127*INDEX(Assumptions!$C$7:$C$12,MATCH(F127,Assumptions!$B$7:$B$12,0)))</f>
        <v>322.71300000000002</v>
      </c>
      <c r="S127" s="3">
        <f>IF(N127="Cancelled",Assumptions!$C$19,IF(N127="Returned",Assumptions!$C$17+O127*Assumptions!$C$18+Assumptions!$C$20,Assumptions!$C$17+O127*Assumptions!$C$18))</f>
        <v>32.799999999999997</v>
      </c>
      <c r="T127" s="3">
        <f>R127+S127</f>
        <v>355.51300000000003</v>
      </c>
      <c r="U127" s="7">
        <f>K127-T127</f>
        <v>410.62699999999995</v>
      </c>
      <c r="V127" s="7">
        <f>IF(U127&gt;0,U127,0)</f>
        <v>410.62699999999995</v>
      </c>
      <c r="W127" s="5">
        <f>IF(U127&gt;0,U127/H127,0)</f>
        <v>0.57258973143319292</v>
      </c>
      <c r="X127" s="7">
        <f>IF(U127&lt;0,-U127,0)</f>
        <v>0</v>
      </c>
      <c r="Y127" s="5">
        <f>IF(U127&lt;0,-U127/H127,0)</f>
        <v>0</v>
      </c>
      <c r="Z127" s="2" t="str">
        <f>IF(U127&gt;=0,"Profitable",IF(N127="Cancelled","Order Cancelled",IF(N127="Returned","Order Returned",IF(AND(I127&gt;=0.15,U127&lt;0),"High Discount",IF(S127&gt;H127,"Delivery Cost Exceeded Order Value","Low Order Value / Thin Margin")))))</f>
        <v>Profitable</v>
      </c>
    </row>
    <row r="128" spans="1:26" x14ac:dyDescent="0.3">
      <c r="A128" s="2" t="s">
        <v>328</v>
      </c>
      <c r="B128" s="6">
        <v>46119.6875</v>
      </c>
      <c r="C128" s="2" t="s">
        <v>72</v>
      </c>
      <c r="D128" s="2" t="s">
        <v>77</v>
      </c>
      <c r="E128" s="2" t="s">
        <v>3</v>
      </c>
      <c r="F128" s="2" t="s">
        <v>4</v>
      </c>
      <c r="G128" s="2">
        <v>2</v>
      </c>
      <c r="H128" s="3">
        <v>236.82</v>
      </c>
      <c r="I128" s="4">
        <v>0.2</v>
      </c>
      <c r="J128" s="3">
        <v>59</v>
      </c>
      <c r="K128" s="7">
        <f t="shared" si="1"/>
        <v>248.45600000000002</v>
      </c>
      <c r="L128" s="2" t="s">
        <v>18</v>
      </c>
      <c r="M128" s="2" t="s">
        <v>113</v>
      </c>
      <c r="N128" s="2" t="s">
        <v>13</v>
      </c>
      <c r="O128" s="2">
        <v>30</v>
      </c>
      <c r="P128" s="2">
        <v>5</v>
      </c>
      <c r="Q128" s="2" t="str">
        <f>TEXT(tblOrders[[#This Row],[Order Date]],"mmm-yyyy")</f>
        <v>Apr-2026</v>
      </c>
      <c r="R128" s="3">
        <f>IF(N128="Cancelled",0,H128*INDEX(Assumptions!$C$7:$C$12,MATCH(F128,Assumptions!$B$7:$B$12,0)))</f>
        <v>184.71960000000001</v>
      </c>
      <c r="S128" s="3">
        <f>IF(N128="Cancelled",Assumptions!$C$19,IF(N128="Returned",Assumptions!$C$17+O128*Assumptions!$C$18+Assumptions!$C$20,Assumptions!$C$17+O128*Assumptions!$C$18))</f>
        <v>34</v>
      </c>
      <c r="T128" s="3">
        <f>R128+S128</f>
        <v>218.71960000000001</v>
      </c>
      <c r="U128" s="7">
        <f>K128-T128</f>
        <v>29.736400000000003</v>
      </c>
      <c r="V128" s="7">
        <f>IF(U128&gt;0,U128,0)</f>
        <v>29.736400000000003</v>
      </c>
      <c r="W128" s="5">
        <f>IF(U128&gt;0,U128/H128,0)</f>
        <v>0.12556540832699942</v>
      </c>
      <c r="X128" s="7">
        <f>IF(U128&lt;0,-U128,0)</f>
        <v>0</v>
      </c>
      <c r="Y128" s="5">
        <f>IF(U128&lt;0,-U128/H128,0)</f>
        <v>0</v>
      </c>
      <c r="Z128" s="2" t="str">
        <f>IF(U128&gt;=0,"Profitable",IF(N128="Cancelled","Order Cancelled",IF(N128="Returned","Order Returned",IF(AND(I128&gt;=0.15,U128&lt;0),"High Discount",IF(S128&gt;H128,"Delivery Cost Exceeded Order Value","Low Order Value / Thin Margin")))))</f>
        <v>Profitable</v>
      </c>
    </row>
    <row r="129" spans="1:26" x14ac:dyDescent="0.3">
      <c r="A129" s="2" t="s">
        <v>329</v>
      </c>
      <c r="B129" s="6">
        <v>46120.663194444503</v>
      </c>
      <c r="C129" s="2" t="s">
        <v>330</v>
      </c>
      <c r="D129" s="2" t="s">
        <v>81</v>
      </c>
      <c r="E129" s="2" t="s">
        <v>3</v>
      </c>
      <c r="F129" s="2" t="s">
        <v>11</v>
      </c>
      <c r="G129" s="2">
        <v>1</v>
      </c>
      <c r="H129" s="3">
        <v>4159.84</v>
      </c>
      <c r="I129" s="4">
        <v>0.15</v>
      </c>
      <c r="J129" s="3">
        <v>0</v>
      </c>
      <c r="K129" s="7">
        <f t="shared" si="1"/>
        <v>3535.864</v>
      </c>
      <c r="L129" s="2" t="s">
        <v>16</v>
      </c>
      <c r="M129" s="2" t="s">
        <v>137</v>
      </c>
      <c r="N129" s="2" t="s">
        <v>13</v>
      </c>
      <c r="O129" s="2">
        <v>62</v>
      </c>
      <c r="P129" s="2">
        <v>3</v>
      </c>
      <c r="Q129" s="2" t="str">
        <f>TEXT(tblOrders[[#This Row],[Order Date]],"mmm-yyyy")</f>
        <v>Apr-2026</v>
      </c>
      <c r="R129" s="3">
        <f>IF(N129="Cancelled",0,H129*INDEX(Assumptions!$C$7:$C$12,MATCH(F129,Assumptions!$B$7:$B$12,0)))</f>
        <v>2703.8960000000002</v>
      </c>
      <c r="S129" s="3">
        <f>IF(N129="Cancelled",Assumptions!$C$19,IF(N129="Returned",Assumptions!$C$17+O129*Assumptions!$C$18+Assumptions!$C$20,Assumptions!$C$17+O129*Assumptions!$C$18))</f>
        <v>43.599999999999994</v>
      </c>
      <c r="T129" s="3">
        <f>R129+S129</f>
        <v>2747.4960000000001</v>
      </c>
      <c r="U129" s="7">
        <f>K129-T129</f>
        <v>788.36799999999994</v>
      </c>
      <c r="V129" s="7">
        <f>IF(U129&gt;0,U129,0)</f>
        <v>788.36799999999994</v>
      </c>
      <c r="W129" s="5">
        <f>IF(U129&gt;0,U129/H129,0)</f>
        <v>0.18951882764721717</v>
      </c>
      <c r="X129" s="7">
        <f>IF(U129&lt;0,-U129,0)</f>
        <v>0</v>
      </c>
      <c r="Y129" s="5">
        <f>IF(U129&lt;0,-U129/H129,0)</f>
        <v>0</v>
      </c>
      <c r="Z129" s="2" t="str">
        <f>IF(U129&gt;=0,"Profitable",IF(N129="Cancelled","Order Cancelled",IF(N129="Returned","Order Returned",IF(AND(I129&gt;=0.15,U129&lt;0),"High Discount",IF(S129&gt;H129,"Delivery Cost Exceeded Order Value","Low Order Value / Thin Margin")))))</f>
        <v>Profitable</v>
      </c>
    </row>
    <row r="130" spans="1:26" x14ac:dyDescent="0.3">
      <c r="A130" s="2" t="s">
        <v>331</v>
      </c>
      <c r="B130" s="6">
        <v>46121.941666666702</v>
      </c>
      <c r="C130" s="2" t="s">
        <v>332</v>
      </c>
      <c r="D130" s="2" t="s">
        <v>73</v>
      </c>
      <c r="E130" s="2" t="s">
        <v>3</v>
      </c>
      <c r="F130" s="2" t="s">
        <v>4</v>
      </c>
      <c r="G130" s="2">
        <v>4</v>
      </c>
      <c r="H130" s="3">
        <v>151.78</v>
      </c>
      <c r="I130" s="4">
        <v>0.2</v>
      </c>
      <c r="J130" s="3">
        <v>39</v>
      </c>
      <c r="K130" s="7">
        <f t="shared" ref="K130:K193" si="2">IF(N130="Cancelled",0,IF(N130="Returned",J130,H130*(1-I130)+J130))</f>
        <v>160.42400000000001</v>
      </c>
      <c r="L130" s="2" t="s">
        <v>18</v>
      </c>
      <c r="M130" s="2" t="s">
        <v>88</v>
      </c>
      <c r="N130" s="2" t="s">
        <v>13</v>
      </c>
      <c r="O130" s="2">
        <v>60</v>
      </c>
      <c r="P130" s="2">
        <v>5</v>
      </c>
      <c r="Q130" s="2" t="str">
        <f>TEXT(tblOrders[[#This Row],[Order Date]],"mmm-yyyy")</f>
        <v>Apr-2026</v>
      </c>
      <c r="R130" s="3">
        <f>IF(N130="Cancelled",0,H130*INDEX(Assumptions!$C$7:$C$12,MATCH(F130,Assumptions!$B$7:$B$12,0)))</f>
        <v>118.3884</v>
      </c>
      <c r="S130" s="3">
        <f>IF(N130="Cancelled",Assumptions!$C$19,IF(N130="Returned",Assumptions!$C$17+O130*Assumptions!$C$18+Assumptions!$C$20,Assumptions!$C$17+O130*Assumptions!$C$18))</f>
        <v>43</v>
      </c>
      <c r="T130" s="3">
        <f>R130+S130</f>
        <v>161.38839999999999</v>
      </c>
      <c r="U130" s="7">
        <f>K130-T130</f>
        <v>-0.96439999999998349</v>
      </c>
      <c r="V130" s="7">
        <f>IF(U130&gt;0,U130,0)</f>
        <v>0</v>
      </c>
      <c r="W130" s="5">
        <f>IF(U130&gt;0,U130/H130,0)</f>
        <v>0</v>
      </c>
      <c r="X130" s="7">
        <f>IF(U130&lt;0,-U130,0)</f>
        <v>0.96439999999998349</v>
      </c>
      <c r="Y130" s="5">
        <f>IF(U130&lt;0,-U130/H130,0)</f>
        <v>6.3539333245485798E-3</v>
      </c>
      <c r="Z130" s="2" t="str">
        <f>IF(U130&gt;=0,"Profitable",IF(N130="Cancelled","Order Cancelled",IF(N130="Returned","Order Returned",IF(AND(I130&gt;=0.15,U130&lt;0),"High Discount",IF(S130&gt;H130,"Delivery Cost Exceeded Order Value","Low Order Value / Thin Margin")))))</f>
        <v>High Discount</v>
      </c>
    </row>
    <row r="131" spans="1:26" x14ac:dyDescent="0.3">
      <c r="A131" s="2" t="s">
        <v>333</v>
      </c>
      <c r="B131" s="6">
        <v>46122.911805555603</v>
      </c>
      <c r="C131" s="2" t="s">
        <v>168</v>
      </c>
      <c r="D131" s="2" t="s">
        <v>116</v>
      </c>
      <c r="E131" s="2" t="s">
        <v>3</v>
      </c>
      <c r="F131" s="2" t="s">
        <v>8</v>
      </c>
      <c r="G131" s="2">
        <v>6</v>
      </c>
      <c r="H131" s="3">
        <v>939.25</v>
      </c>
      <c r="I131" s="4">
        <v>0.05</v>
      </c>
      <c r="J131" s="3">
        <v>29</v>
      </c>
      <c r="K131" s="7">
        <f t="shared" si="2"/>
        <v>921.28749999999991</v>
      </c>
      <c r="L131" s="2" t="s">
        <v>14</v>
      </c>
      <c r="M131" s="2" t="s">
        <v>98</v>
      </c>
      <c r="N131" s="2" t="s">
        <v>13</v>
      </c>
      <c r="O131" s="2">
        <v>19</v>
      </c>
      <c r="P131" s="2">
        <v>4</v>
      </c>
      <c r="Q131" s="2" t="str">
        <f>TEXT(tblOrders[[#This Row],[Order Date]],"mmm-yyyy")</f>
        <v>Apr-2026</v>
      </c>
      <c r="R131" s="3">
        <f>IF(N131="Cancelled",0,H131*INDEX(Assumptions!$C$7:$C$12,MATCH(F131,Assumptions!$B$7:$B$12,0)))</f>
        <v>516.58750000000009</v>
      </c>
      <c r="S131" s="3">
        <f>IF(N131="Cancelled",Assumptions!$C$19,IF(N131="Returned",Assumptions!$C$17+O131*Assumptions!$C$18+Assumptions!$C$20,Assumptions!$C$17+O131*Assumptions!$C$18))</f>
        <v>30.7</v>
      </c>
      <c r="T131" s="3">
        <f>R131+S131</f>
        <v>547.28750000000014</v>
      </c>
      <c r="U131" s="7">
        <f>K131-T131</f>
        <v>373.99999999999977</v>
      </c>
      <c r="V131" s="7">
        <f>IF(U131&gt;0,U131,0)</f>
        <v>373.99999999999977</v>
      </c>
      <c r="W131" s="5">
        <f>IF(U131&gt;0,U131/H131,0)</f>
        <v>0.39819004524886853</v>
      </c>
      <c r="X131" s="7">
        <f>IF(U131&lt;0,-U131,0)</f>
        <v>0</v>
      </c>
      <c r="Y131" s="5">
        <f>IF(U131&lt;0,-U131/H131,0)</f>
        <v>0</v>
      </c>
      <c r="Z131" s="2" t="str">
        <f>IF(U131&gt;=0,"Profitable",IF(N131="Cancelled","Order Cancelled",IF(N131="Returned","Order Returned",IF(AND(I131&gt;=0.15,U131&lt;0),"High Discount",IF(S131&gt;H131,"Delivery Cost Exceeded Order Value","Low Order Value / Thin Margin")))))</f>
        <v>Profitable</v>
      </c>
    </row>
    <row r="132" spans="1:26" x14ac:dyDescent="0.3">
      <c r="A132" s="2" t="s">
        <v>334</v>
      </c>
      <c r="B132" s="6">
        <v>46123.528472222199</v>
      </c>
      <c r="C132" s="2" t="s">
        <v>335</v>
      </c>
      <c r="D132" s="2" t="s">
        <v>81</v>
      </c>
      <c r="E132" s="2" t="s">
        <v>5</v>
      </c>
      <c r="F132" s="2" t="s">
        <v>4</v>
      </c>
      <c r="G132" s="2">
        <v>2</v>
      </c>
      <c r="H132" s="3">
        <v>669.63</v>
      </c>
      <c r="I132" s="4">
        <v>0</v>
      </c>
      <c r="J132" s="3">
        <v>39</v>
      </c>
      <c r="K132" s="7">
        <f t="shared" si="2"/>
        <v>708.63</v>
      </c>
      <c r="L132" s="2" t="s">
        <v>19</v>
      </c>
      <c r="M132" s="2" t="s">
        <v>132</v>
      </c>
      <c r="N132" s="2" t="s">
        <v>13</v>
      </c>
      <c r="O132" s="2">
        <v>27</v>
      </c>
      <c r="P132" s="2">
        <v>5</v>
      </c>
      <c r="Q132" s="2" t="str">
        <f>TEXT(tblOrders[[#This Row],[Order Date]],"mmm-yyyy")</f>
        <v>Apr-2026</v>
      </c>
      <c r="R132" s="3">
        <f>IF(N132="Cancelled",0,H132*INDEX(Assumptions!$C$7:$C$12,MATCH(F132,Assumptions!$B$7:$B$12,0)))</f>
        <v>522.31140000000005</v>
      </c>
      <c r="S132" s="3">
        <f>IF(N132="Cancelled",Assumptions!$C$19,IF(N132="Returned",Assumptions!$C$17+O132*Assumptions!$C$18+Assumptions!$C$20,Assumptions!$C$17+O132*Assumptions!$C$18))</f>
        <v>33.1</v>
      </c>
      <c r="T132" s="3">
        <f>R132+S132</f>
        <v>555.41140000000007</v>
      </c>
      <c r="U132" s="7">
        <f>K132-T132</f>
        <v>153.21859999999992</v>
      </c>
      <c r="V132" s="7">
        <f>IF(U132&gt;0,U132,0)</f>
        <v>153.21859999999992</v>
      </c>
      <c r="W132" s="5">
        <f>IF(U132&gt;0,U132/H132,0)</f>
        <v>0.22881083583471459</v>
      </c>
      <c r="X132" s="7">
        <f>IF(U132&lt;0,-U132,0)</f>
        <v>0</v>
      </c>
      <c r="Y132" s="5">
        <f>IF(U132&lt;0,-U132/H132,0)</f>
        <v>0</v>
      </c>
      <c r="Z132" s="2" t="str">
        <f>IF(U132&gt;=0,"Profitable",IF(N132="Cancelled","Order Cancelled",IF(N132="Returned","Order Returned",IF(AND(I132&gt;=0.15,U132&lt;0),"High Discount",IF(S132&gt;H132,"Delivery Cost Exceeded Order Value","Low Order Value / Thin Margin")))))</f>
        <v>Profitable</v>
      </c>
    </row>
    <row r="133" spans="1:26" x14ac:dyDescent="0.3">
      <c r="A133" s="2" t="s">
        <v>336</v>
      </c>
      <c r="B133" s="6">
        <v>46123.546527777798</v>
      </c>
      <c r="C133" s="2" t="s">
        <v>337</v>
      </c>
      <c r="D133" s="2" t="s">
        <v>97</v>
      </c>
      <c r="E133" s="2" t="s">
        <v>3</v>
      </c>
      <c r="F133" s="2" t="s">
        <v>11</v>
      </c>
      <c r="G133" s="2">
        <v>5</v>
      </c>
      <c r="H133" s="3">
        <v>1243.58</v>
      </c>
      <c r="I133" s="4">
        <v>0.2</v>
      </c>
      <c r="J133" s="3">
        <v>0</v>
      </c>
      <c r="K133" s="7">
        <f t="shared" si="2"/>
        <v>0</v>
      </c>
      <c r="L133" s="2" t="s">
        <v>14</v>
      </c>
      <c r="M133" s="2" t="s">
        <v>98</v>
      </c>
      <c r="N133" s="2" t="s">
        <v>17</v>
      </c>
      <c r="O133" s="2">
        <v>77</v>
      </c>
      <c r="P133" s="2">
        <v>3</v>
      </c>
      <c r="Q133" s="2" t="str">
        <f>TEXT(tblOrders[[#This Row],[Order Date]],"mmm-yyyy")</f>
        <v>Apr-2026</v>
      </c>
      <c r="R133" s="3">
        <f>IF(N133="Cancelled",0,H133*INDEX(Assumptions!$C$7:$C$12,MATCH(F133,Assumptions!$B$7:$B$12,0)))</f>
        <v>808.327</v>
      </c>
      <c r="S133" s="3">
        <f>IF(N133="Cancelled",Assumptions!$C$19,IF(N133="Returned",Assumptions!$C$17+O133*Assumptions!$C$18+Assumptions!$C$20,Assumptions!$C$17+O133*Assumptions!$C$18))</f>
        <v>68.099999999999994</v>
      </c>
      <c r="T133" s="3">
        <f>R133+S133</f>
        <v>876.42700000000002</v>
      </c>
      <c r="U133" s="7">
        <f>K133-T133</f>
        <v>-876.42700000000002</v>
      </c>
      <c r="V133" s="7">
        <f>IF(U133&gt;0,U133,0)</f>
        <v>0</v>
      </c>
      <c r="W133" s="5">
        <f>IF(U133&gt;0,U133/H133,0)</f>
        <v>0</v>
      </c>
      <c r="X133" s="7">
        <f>IF(U133&lt;0,-U133,0)</f>
        <v>876.42700000000002</v>
      </c>
      <c r="Y133" s="5">
        <f>IF(U133&lt;0,-U133/H133,0)</f>
        <v>0.70476125379951438</v>
      </c>
      <c r="Z133" s="2" t="str">
        <f>IF(U133&gt;=0,"Profitable",IF(N133="Cancelled","Order Cancelled",IF(N133="Returned","Order Returned",IF(AND(I133&gt;=0.15,U133&lt;0),"High Discount",IF(S133&gt;H133,"Delivery Cost Exceeded Order Value","Low Order Value / Thin Margin")))))</f>
        <v>Order Returned</v>
      </c>
    </row>
    <row r="134" spans="1:26" x14ac:dyDescent="0.3">
      <c r="A134" s="2" t="s">
        <v>338</v>
      </c>
      <c r="B134" s="6">
        <v>46123.686805555597</v>
      </c>
      <c r="C134" s="2" t="s">
        <v>240</v>
      </c>
      <c r="D134" s="2" t="s">
        <v>87</v>
      </c>
      <c r="E134" s="2" t="s">
        <v>3</v>
      </c>
      <c r="F134" s="2" t="s">
        <v>11</v>
      </c>
      <c r="G134" s="2">
        <v>3</v>
      </c>
      <c r="H134" s="3">
        <v>482.22</v>
      </c>
      <c r="I134" s="4">
        <v>0</v>
      </c>
      <c r="J134" s="3">
        <v>59</v>
      </c>
      <c r="K134" s="7">
        <f t="shared" si="2"/>
        <v>541.22</v>
      </c>
      <c r="L134" s="2" t="s">
        <v>19</v>
      </c>
      <c r="M134" s="2" t="s">
        <v>149</v>
      </c>
      <c r="N134" s="2" t="s">
        <v>13</v>
      </c>
      <c r="O134" s="2">
        <v>19</v>
      </c>
      <c r="P134" s="2">
        <v>3</v>
      </c>
      <c r="Q134" s="2" t="str">
        <f>TEXT(tblOrders[[#This Row],[Order Date]],"mmm-yyyy")</f>
        <v>Apr-2026</v>
      </c>
      <c r="R134" s="3">
        <f>IF(N134="Cancelled",0,H134*INDEX(Assumptions!$C$7:$C$12,MATCH(F134,Assumptions!$B$7:$B$12,0)))</f>
        <v>313.44300000000004</v>
      </c>
      <c r="S134" s="3">
        <f>IF(N134="Cancelled",Assumptions!$C$19,IF(N134="Returned",Assumptions!$C$17+O134*Assumptions!$C$18+Assumptions!$C$20,Assumptions!$C$17+O134*Assumptions!$C$18))</f>
        <v>30.7</v>
      </c>
      <c r="T134" s="3">
        <f>R134+S134</f>
        <v>344.14300000000003</v>
      </c>
      <c r="U134" s="7">
        <f>K134-T134</f>
        <v>197.077</v>
      </c>
      <c r="V134" s="7">
        <f>IF(U134&gt;0,U134,0)</f>
        <v>197.077</v>
      </c>
      <c r="W134" s="5">
        <f>IF(U134&gt;0,U134/H134,0)</f>
        <v>0.40868690639127364</v>
      </c>
      <c r="X134" s="7">
        <f>IF(U134&lt;0,-U134,0)</f>
        <v>0</v>
      </c>
      <c r="Y134" s="5">
        <f>IF(U134&lt;0,-U134/H134,0)</f>
        <v>0</v>
      </c>
      <c r="Z134" s="2" t="str">
        <f>IF(U134&gt;=0,"Profitable",IF(N134="Cancelled","Order Cancelled",IF(N134="Returned","Order Returned",IF(AND(I134&gt;=0.15,U134&lt;0),"High Discount",IF(S134&gt;H134,"Delivery Cost Exceeded Order Value","Low Order Value / Thin Margin")))))</f>
        <v>Profitable</v>
      </c>
    </row>
    <row r="135" spans="1:26" x14ac:dyDescent="0.3">
      <c r="A135" s="2" t="s">
        <v>339</v>
      </c>
      <c r="B135" s="6">
        <v>46123.736111111102</v>
      </c>
      <c r="C135" s="2" t="s">
        <v>340</v>
      </c>
      <c r="D135" s="2" t="s">
        <v>131</v>
      </c>
      <c r="E135" s="2" t="s">
        <v>3</v>
      </c>
      <c r="F135" s="2" t="s">
        <v>9</v>
      </c>
      <c r="G135" s="2">
        <v>6</v>
      </c>
      <c r="H135" s="3">
        <v>152.88999999999999</v>
      </c>
      <c r="I135" s="4">
        <v>0.15</v>
      </c>
      <c r="J135" s="3">
        <v>59</v>
      </c>
      <c r="K135" s="7">
        <f t="shared" si="2"/>
        <v>188.95649999999998</v>
      </c>
      <c r="L135" s="2" t="s">
        <v>16</v>
      </c>
      <c r="M135" s="2" t="s">
        <v>110</v>
      </c>
      <c r="N135" s="2" t="s">
        <v>13</v>
      </c>
      <c r="O135" s="2">
        <v>29</v>
      </c>
      <c r="P135" s="2">
        <v>4</v>
      </c>
      <c r="Q135" s="2" t="str">
        <f>TEXT(tblOrders[[#This Row],[Order Date]],"mmm-yyyy")</f>
        <v>Apr-2026</v>
      </c>
      <c r="R135" s="3">
        <f>IF(N135="Cancelled",0,H135*INDEX(Assumptions!$C$7:$C$12,MATCH(F135,Assumptions!$B$7:$B$12,0)))</f>
        <v>68.8005</v>
      </c>
      <c r="S135" s="3">
        <f>IF(N135="Cancelled",Assumptions!$C$19,IF(N135="Returned",Assumptions!$C$17+O135*Assumptions!$C$18+Assumptions!$C$20,Assumptions!$C$17+O135*Assumptions!$C$18))</f>
        <v>33.700000000000003</v>
      </c>
      <c r="T135" s="3">
        <f>R135+S135</f>
        <v>102.5005</v>
      </c>
      <c r="U135" s="7">
        <f>K135-T135</f>
        <v>86.455999999999975</v>
      </c>
      <c r="V135" s="7">
        <f>IF(U135&gt;0,U135,0)</f>
        <v>86.455999999999975</v>
      </c>
      <c r="W135" s="5">
        <f>IF(U135&gt;0,U135/H135,0)</f>
        <v>0.56547844855778651</v>
      </c>
      <c r="X135" s="7">
        <f>IF(U135&lt;0,-U135,0)</f>
        <v>0</v>
      </c>
      <c r="Y135" s="5">
        <f>IF(U135&lt;0,-U135/H135,0)</f>
        <v>0</v>
      </c>
      <c r="Z135" s="2" t="str">
        <f>IF(U135&gt;=0,"Profitable",IF(N135="Cancelled","Order Cancelled",IF(N135="Returned","Order Returned",IF(AND(I135&gt;=0.15,U135&lt;0),"High Discount",IF(S135&gt;H135,"Delivery Cost Exceeded Order Value","Low Order Value / Thin Margin")))))</f>
        <v>Profitable</v>
      </c>
    </row>
    <row r="136" spans="1:26" x14ac:dyDescent="0.3">
      <c r="A136" s="2" t="s">
        <v>341</v>
      </c>
      <c r="B136" s="6">
        <v>46124.668749999997</v>
      </c>
      <c r="C136" s="2" t="s">
        <v>342</v>
      </c>
      <c r="D136" s="2" t="s">
        <v>69</v>
      </c>
      <c r="E136" s="2" t="s">
        <v>3</v>
      </c>
      <c r="F136" s="2" t="s">
        <v>9</v>
      </c>
      <c r="G136" s="2">
        <v>2</v>
      </c>
      <c r="H136" s="3">
        <v>124.87</v>
      </c>
      <c r="I136" s="4">
        <v>0.05</v>
      </c>
      <c r="J136" s="3">
        <v>59</v>
      </c>
      <c r="K136" s="7">
        <f t="shared" si="2"/>
        <v>177.62649999999999</v>
      </c>
      <c r="L136" s="2" t="s">
        <v>16</v>
      </c>
      <c r="M136" s="2" t="s">
        <v>110</v>
      </c>
      <c r="N136" s="2" t="s">
        <v>13</v>
      </c>
      <c r="O136" s="2">
        <v>31</v>
      </c>
      <c r="P136" s="2">
        <v>3</v>
      </c>
      <c r="Q136" s="2" t="str">
        <f>TEXT(tblOrders[[#This Row],[Order Date]],"mmm-yyyy")</f>
        <v>Apr-2026</v>
      </c>
      <c r="R136" s="3">
        <f>IF(N136="Cancelled",0,H136*INDEX(Assumptions!$C$7:$C$12,MATCH(F136,Assumptions!$B$7:$B$12,0)))</f>
        <v>56.191500000000005</v>
      </c>
      <c r="S136" s="3">
        <f>IF(N136="Cancelled",Assumptions!$C$19,IF(N136="Returned",Assumptions!$C$17+O136*Assumptions!$C$18+Assumptions!$C$20,Assumptions!$C$17+O136*Assumptions!$C$18))</f>
        <v>34.299999999999997</v>
      </c>
      <c r="T136" s="3">
        <f>R136+S136</f>
        <v>90.491500000000002</v>
      </c>
      <c r="U136" s="7">
        <f>K136-T136</f>
        <v>87.134999999999991</v>
      </c>
      <c r="V136" s="7">
        <f>IF(U136&gt;0,U136,0)</f>
        <v>87.134999999999991</v>
      </c>
      <c r="W136" s="5">
        <f>IF(U136&gt;0,U136/H136,0)</f>
        <v>0.69780571794666446</v>
      </c>
      <c r="X136" s="7">
        <f>IF(U136&lt;0,-U136,0)</f>
        <v>0</v>
      </c>
      <c r="Y136" s="5">
        <f>IF(U136&lt;0,-U136/H136,0)</f>
        <v>0</v>
      </c>
      <c r="Z136" s="2" t="str">
        <f>IF(U136&gt;=0,"Profitable",IF(N136="Cancelled","Order Cancelled",IF(N136="Returned","Order Returned",IF(AND(I136&gt;=0.15,U136&lt;0),"High Discount",IF(S136&gt;H136,"Delivery Cost Exceeded Order Value","Low Order Value / Thin Margin")))))</f>
        <v>Profitable</v>
      </c>
    </row>
    <row r="137" spans="1:26" x14ac:dyDescent="0.3">
      <c r="A137" s="2" t="s">
        <v>343</v>
      </c>
      <c r="B137" s="6">
        <v>46124.854861111096</v>
      </c>
      <c r="C137" s="2" t="s">
        <v>344</v>
      </c>
      <c r="D137" s="2" t="s">
        <v>77</v>
      </c>
      <c r="E137" s="2" t="s">
        <v>5</v>
      </c>
      <c r="F137" s="2" t="s">
        <v>4</v>
      </c>
      <c r="G137" s="2">
        <v>3</v>
      </c>
      <c r="H137" s="3">
        <v>1070.58</v>
      </c>
      <c r="I137" s="4">
        <v>0</v>
      </c>
      <c r="J137" s="3">
        <v>0</v>
      </c>
      <c r="K137" s="7">
        <f t="shared" si="2"/>
        <v>1070.58</v>
      </c>
      <c r="L137" s="2" t="s">
        <v>18</v>
      </c>
      <c r="M137" s="2" t="s">
        <v>70</v>
      </c>
      <c r="N137" s="2" t="s">
        <v>13</v>
      </c>
      <c r="O137" s="2">
        <v>31</v>
      </c>
      <c r="P137" s="2">
        <v>4</v>
      </c>
      <c r="Q137" s="2" t="str">
        <f>TEXT(tblOrders[[#This Row],[Order Date]],"mmm-yyyy")</f>
        <v>Apr-2026</v>
      </c>
      <c r="R137" s="3">
        <f>IF(N137="Cancelled",0,H137*INDEX(Assumptions!$C$7:$C$12,MATCH(F137,Assumptions!$B$7:$B$12,0)))</f>
        <v>835.05239999999992</v>
      </c>
      <c r="S137" s="3">
        <f>IF(N137="Cancelled",Assumptions!$C$19,IF(N137="Returned",Assumptions!$C$17+O137*Assumptions!$C$18+Assumptions!$C$20,Assumptions!$C$17+O137*Assumptions!$C$18))</f>
        <v>34.299999999999997</v>
      </c>
      <c r="T137" s="3">
        <f>R137+S137</f>
        <v>869.35239999999988</v>
      </c>
      <c r="U137" s="7">
        <f>K137-T137</f>
        <v>201.22760000000005</v>
      </c>
      <c r="V137" s="7">
        <f>IF(U137&gt;0,U137,0)</f>
        <v>201.22760000000005</v>
      </c>
      <c r="W137" s="5">
        <f>IF(U137&gt;0,U137/H137,0)</f>
        <v>0.18796129200993861</v>
      </c>
      <c r="X137" s="7">
        <f>IF(U137&lt;0,-U137,0)</f>
        <v>0</v>
      </c>
      <c r="Y137" s="5">
        <f>IF(U137&lt;0,-U137/H137,0)</f>
        <v>0</v>
      </c>
      <c r="Z137" s="2" t="str">
        <f>IF(U137&gt;=0,"Profitable",IF(N137="Cancelled","Order Cancelled",IF(N137="Returned","Order Returned",IF(AND(I137&gt;=0.15,U137&lt;0),"High Discount",IF(S137&gt;H137,"Delivery Cost Exceeded Order Value","Low Order Value / Thin Margin")))))</f>
        <v>Profitable</v>
      </c>
    </row>
    <row r="138" spans="1:26" x14ac:dyDescent="0.3">
      <c r="A138" s="2" t="s">
        <v>345</v>
      </c>
      <c r="B138" s="6">
        <v>46124.890277777798</v>
      </c>
      <c r="C138" s="2" t="s">
        <v>346</v>
      </c>
      <c r="D138" s="2" t="s">
        <v>69</v>
      </c>
      <c r="E138" s="2" t="s">
        <v>5</v>
      </c>
      <c r="F138" s="2" t="s">
        <v>11</v>
      </c>
      <c r="G138" s="2">
        <v>3</v>
      </c>
      <c r="H138" s="3">
        <v>443.99</v>
      </c>
      <c r="I138" s="4">
        <v>0.15</v>
      </c>
      <c r="J138" s="3">
        <v>29</v>
      </c>
      <c r="K138" s="7">
        <f t="shared" si="2"/>
        <v>0</v>
      </c>
      <c r="L138" s="2" t="s">
        <v>18</v>
      </c>
      <c r="M138" s="2" t="s">
        <v>78</v>
      </c>
      <c r="N138" s="2" t="s">
        <v>15</v>
      </c>
      <c r="O138" s="2"/>
      <c r="P138" s="2"/>
      <c r="Q138" s="2" t="str">
        <f>TEXT(tblOrders[[#This Row],[Order Date]],"mmm-yyyy")</f>
        <v>Apr-2026</v>
      </c>
      <c r="R138" s="3">
        <f>IF(N138="Cancelled",0,H138*INDEX(Assumptions!$C$7:$C$12,MATCH(F138,Assumptions!$B$7:$B$12,0)))</f>
        <v>0</v>
      </c>
      <c r="S138" s="3">
        <f>IF(N138="Cancelled",Assumptions!$C$19,IF(N138="Returned",Assumptions!$C$17+O138*Assumptions!$C$18+Assumptions!$C$20,Assumptions!$C$17+O138*Assumptions!$C$18))</f>
        <v>15</v>
      </c>
      <c r="T138" s="3">
        <f>R138+S138</f>
        <v>15</v>
      </c>
      <c r="U138" s="7">
        <f>K138-T138</f>
        <v>-15</v>
      </c>
      <c r="V138" s="7">
        <f>IF(U138&gt;0,U138,0)</f>
        <v>0</v>
      </c>
      <c r="W138" s="5">
        <f>IF(U138&gt;0,U138/H138,0)</f>
        <v>0</v>
      </c>
      <c r="X138" s="7">
        <f>IF(U138&lt;0,-U138,0)</f>
        <v>15</v>
      </c>
      <c r="Y138" s="5">
        <f>IF(U138&lt;0,-U138/H138,0)</f>
        <v>3.3784544696952634E-2</v>
      </c>
      <c r="Z138" s="2" t="str">
        <f>IF(U138&gt;=0,"Profitable",IF(N138="Cancelled","Order Cancelled",IF(N138="Returned","Order Returned",IF(AND(I138&gt;=0.15,U138&lt;0),"High Discount",IF(S138&gt;H138,"Delivery Cost Exceeded Order Value","Low Order Value / Thin Margin")))))</f>
        <v>Order Cancelled</v>
      </c>
    </row>
    <row r="139" spans="1:26" x14ac:dyDescent="0.3">
      <c r="A139" s="2" t="s">
        <v>347</v>
      </c>
      <c r="B139" s="6">
        <v>46124.907638888901</v>
      </c>
      <c r="C139" s="2" t="s">
        <v>348</v>
      </c>
      <c r="D139" s="2" t="s">
        <v>87</v>
      </c>
      <c r="E139" s="2" t="s">
        <v>3</v>
      </c>
      <c r="F139" s="2" t="s">
        <v>4</v>
      </c>
      <c r="G139" s="2">
        <v>1</v>
      </c>
      <c r="H139" s="3">
        <v>1055.22</v>
      </c>
      <c r="I139" s="4">
        <v>0.1</v>
      </c>
      <c r="J139" s="3">
        <v>0</v>
      </c>
      <c r="K139" s="7">
        <f t="shared" si="2"/>
        <v>949.69800000000009</v>
      </c>
      <c r="L139" s="2" t="s">
        <v>19</v>
      </c>
      <c r="M139" s="2" t="s">
        <v>110</v>
      </c>
      <c r="N139" s="2" t="s">
        <v>13</v>
      </c>
      <c r="O139" s="2">
        <v>71</v>
      </c>
      <c r="P139" s="2">
        <v>4</v>
      </c>
      <c r="Q139" s="2" t="str">
        <f>TEXT(tblOrders[[#This Row],[Order Date]],"mmm-yyyy")</f>
        <v>Apr-2026</v>
      </c>
      <c r="R139" s="3">
        <f>IF(N139="Cancelled",0,H139*INDEX(Assumptions!$C$7:$C$12,MATCH(F139,Assumptions!$B$7:$B$12,0)))</f>
        <v>823.0716000000001</v>
      </c>
      <c r="S139" s="3">
        <f>IF(N139="Cancelled",Assumptions!$C$19,IF(N139="Returned",Assumptions!$C$17+O139*Assumptions!$C$18+Assumptions!$C$20,Assumptions!$C$17+O139*Assumptions!$C$18))</f>
        <v>46.3</v>
      </c>
      <c r="T139" s="3">
        <f>R139+S139</f>
        <v>869.37160000000006</v>
      </c>
      <c r="U139" s="7">
        <f>K139-T139</f>
        <v>80.326400000000035</v>
      </c>
      <c r="V139" s="7">
        <f>IF(U139&gt;0,U139,0)</f>
        <v>80.326400000000035</v>
      </c>
      <c r="W139" s="5">
        <f>IF(U139&gt;0,U139/H139,0)</f>
        <v>7.6122893804135658E-2</v>
      </c>
      <c r="X139" s="7">
        <f>IF(U139&lt;0,-U139,0)</f>
        <v>0</v>
      </c>
      <c r="Y139" s="5">
        <f>IF(U139&lt;0,-U139/H139,0)</f>
        <v>0</v>
      </c>
      <c r="Z139" s="2" t="str">
        <f>IF(U139&gt;=0,"Profitable",IF(N139="Cancelled","Order Cancelled",IF(N139="Returned","Order Returned",IF(AND(I139&gt;=0.15,U139&lt;0),"High Discount",IF(S139&gt;H139,"Delivery Cost Exceeded Order Value","Low Order Value / Thin Margin")))))</f>
        <v>Profitable</v>
      </c>
    </row>
    <row r="140" spans="1:26" x14ac:dyDescent="0.3">
      <c r="A140" s="2" t="s">
        <v>349</v>
      </c>
      <c r="B140" s="6">
        <v>46126.543055555601</v>
      </c>
      <c r="C140" s="2" t="s">
        <v>350</v>
      </c>
      <c r="D140" s="2" t="s">
        <v>97</v>
      </c>
      <c r="E140" s="2" t="s">
        <v>3</v>
      </c>
      <c r="F140" s="2" t="s">
        <v>8</v>
      </c>
      <c r="G140" s="2">
        <v>2</v>
      </c>
      <c r="H140" s="3">
        <v>1641.34</v>
      </c>
      <c r="I140" s="4">
        <v>0</v>
      </c>
      <c r="J140" s="3">
        <v>0</v>
      </c>
      <c r="K140" s="7">
        <f t="shared" si="2"/>
        <v>1641.34</v>
      </c>
      <c r="L140" s="2" t="s">
        <v>14</v>
      </c>
      <c r="M140" s="2" t="s">
        <v>78</v>
      </c>
      <c r="N140" s="2" t="s">
        <v>13</v>
      </c>
      <c r="O140" s="2">
        <v>75</v>
      </c>
      <c r="P140" s="2">
        <v>5</v>
      </c>
      <c r="Q140" s="2" t="str">
        <f>TEXT(tblOrders[[#This Row],[Order Date]],"mmm-yyyy")</f>
        <v>Apr-2026</v>
      </c>
      <c r="R140" s="3">
        <f>IF(N140="Cancelled",0,H140*INDEX(Assumptions!$C$7:$C$12,MATCH(F140,Assumptions!$B$7:$B$12,0)))</f>
        <v>902.73700000000008</v>
      </c>
      <c r="S140" s="3">
        <f>IF(N140="Cancelled",Assumptions!$C$19,IF(N140="Returned",Assumptions!$C$17+O140*Assumptions!$C$18+Assumptions!$C$20,Assumptions!$C$17+O140*Assumptions!$C$18))</f>
        <v>47.5</v>
      </c>
      <c r="T140" s="3">
        <f>R140+S140</f>
        <v>950.23700000000008</v>
      </c>
      <c r="U140" s="7">
        <f>K140-T140</f>
        <v>691.10299999999984</v>
      </c>
      <c r="V140" s="7">
        <f>IF(U140&gt;0,U140,0)</f>
        <v>691.10299999999984</v>
      </c>
      <c r="W140" s="5">
        <f>IF(U140&gt;0,U140/H140,0)</f>
        <v>0.42106023127444642</v>
      </c>
      <c r="X140" s="7">
        <f>IF(U140&lt;0,-U140,0)</f>
        <v>0</v>
      </c>
      <c r="Y140" s="5">
        <f>IF(U140&lt;0,-U140/H140,0)</f>
        <v>0</v>
      </c>
      <c r="Z140" s="2" t="str">
        <f>IF(U140&gt;=0,"Profitable",IF(N140="Cancelled","Order Cancelled",IF(N140="Returned","Order Returned",IF(AND(I140&gt;=0.15,U140&lt;0),"High Discount",IF(S140&gt;H140,"Delivery Cost Exceeded Order Value","Low Order Value / Thin Margin")))))</f>
        <v>Profitable</v>
      </c>
    </row>
    <row r="141" spans="1:26" x14ac:dyDescent="0.3">
      <c r="A141" s="2" t="s">
        <v>351</v>
      </c>
      <c r="B141" s="6">
        <v>46126.703472222202</v>
      </c>
      <c r="C141" s="2" t="s">
        <v>352</v>
      </c>
      <c r="D141" s="2" t="s">
        <v>97</v>
      </c>
      <c r="E141" s="2" t="s">
        <v>3</v>
      </c>
      <c r="F141" s="2" t="s">
        <v>4</v>
      </c>
      <c r="G141" s="2">
        <v>4</v>
      </c>
      <c r="H141" s="3">
        <v>975.05</v>
      </c>
      <c r="I141" s="4">
        <v>0.1</v>
      </c>
      <c r="J141" s="3">
        <v>49</v>
      </c>
      <c r="K141" s="7">
        <f t="shared" si="2"/>
        <v>926.54499999999996</v>
      </c>
      <c r="L141" s="2" t="s">
        <v>19</v>
      </c>
      <c r="M141" s="2" t="s">
        <v>140</v>
      </c>
      <c r="N141" s="2" t="s">
        <v>13</v>
      </c>
      <c r="O141" s="2">
        <v>45</v>
      </c>
      <c r="P141" s="2">
        <v>5</v>
      </c>
      <c r="Q141" s="2" t="str">
        <f>TEXT(tblOrders[[#This Row],[Order Date]],"mmm-yyyy")</f>
        <v>Apr-2026</v>
      </c>
      <c r="R141" s="3">
        <f>IF(N141="Cancelled",0,H141*INDEX(Assumptions!$C$7:$C$12,MATCH(F141,Assumptions!$B$7:$B$12,0)))</f>
        <v>760.53899999999999</v>
      </c>
      <c r="S141" s="3">
        <f>IF(N141="Cancelled",Assumptions!$C$19,IF(N141="Returned",Assumptions!$C$17+O141*Assumptions!$C$18+Assumptions!$C$20,Assumptions!$C$17+O141*Assumptions!$C$18))</f>
        <v>38.5</v>
      </c>
      <c r="T141" s="3">
        <f>R141+S141</f>
        <v>799.03899999999999</v>
      </c>
      <c r="U141" s="7">
        <f>K141-T141</f>
        <v>127.50599999999997</v>
      </c>
      <c r="V141" s="7">
        <f>IF(U141&gt;0,U141,0)</f>
        <v>127.50599999999997</v>
      </c>
      <c r="W141" s="5">
        <f>IF(U141&gt;0,U141/H141,0)</f>
        <v>0.13076867852930615</v>
      </c>
      <c r="X141" s="7">
        <f>IF(U141&lt;0,-U141,0)</f>
        <v>0</v>
      </c>
      <c r="Y141" s="5">
        <f>IF(U141&lt;0,-U141/H141,0)</f>
        <v>0</v>
      </c>
      <c r="Z141" s="2" t="str">
        <f>IF(U141&gt;=0,"Profitable",IF(N141="Cancelled","Order Cancelled",IF(N141="Returned","Order Returned",IF(AND(I141&gt;=0.15,U141&lt;0),"High Discount",IF(S141&gt;H141,"Delivery Cost Exceeded Order Value","Low Order Value / Thin Margin")))))</f>
        <v>Profitable</v>
      </c>
    </row>
    <row r="142" spans="1:26" x14ac:dyDescent="0.3">
      <c r="A142" s="2" t="s">
        <v>353</v>
      </c>
      <c r="B142" s="6">
        <v>46127.771527777797</v>
      </c>
      <c r="C142" s="2" t="s">
        <v>354</v>
      </c>
      <c r="D142" s="2" t="s">
        <v>116</v>
      </c>
      <c r="E142" s="2" t="s">
        <v>3</v>
      </c>
      <c r="F142" s="2" t="s">
        <v>4</v>
      </c>
      <c r="G142" s="2">
        <v>3</v>
      </c>
      <c r="H142" s="3">
        <v>841.6</v>
      </c>
      <c r="I142" s="4">
        <v>0.15</v>
      </c>
      <c r="J142" s="3">
        <v>59</v>
      </c>
      <c r="K142" s="7">
        <f t="shared" si="2"/>
        <v>774.36</v>
      </c>
      <c r="L142" s="2" t="s">
        <v>19</v>
      </c>
      <c r="M142" s="2" t="s">
        <v>200</v>
      </c>
      <c r="N142" s="2" t="s">
        <v>13</v>
      </c>
      <c r="O142" s="2">
        <v>94</v>
      </c>
      <c r="P142" s="2">
        <v>4</v>
      </c>
      <c r="Q142" s="2" t="str">
        <f>TEXT(tblOrders[[#This Row],[Order Date]],"mmm-yyyy")</f>
        <v>Apr-2026</v>
      </c>
      <c r="R142" s="3">
        <f>IF(N142="Cancelled",0,H142*INDEX(Assumptions!$C$7:$C$12,MATCH(F142,Assumptions!$B$7:$B$12,0)))</f>
        <v>656.44800000000009</v>
      </c>
      <c r="S142" s="3">
        <f>IF(N142="Cancelled",Assumptions!$C$19,IF(N142="Returned",Assumptions!$C$17+O142*Assumptions!$C$18+Assumptions!$C$20,Assumptions!$C$17+O142*Assumptions!$C$18))</f>
        <v>53.2</v>
      </c>
      <c r="T142" s="3">
        <f>R142+S142</f>
        <v>709.64800000000014</v>
      </c>
      <c r="U142" s="7">
        <f>K142-T142</f>
        <v>64.711999999999875</v>
      </c>
      <c r="V142" s="7">
        <f>IF(U142&gt;0,U142,0)</f>
        <v>64.711999999999875</v>
      </c>
      <c r="W142" s="5">
        <f>IF(U142&gt;0,U142/H142,0)</f>
        <v>7.6891634980988444E-2</v>
      </c>
      <c r="X142" s="7">
        <f>IF(U142&lt;0,-U142,0)</f>
        <v>0</v>
      </c>
      <c r="Y142" s="5">
        <f>IF(U142&lt;0,-U142/H142,0)</f>
        <v>0</v>
      </c>
      <c r="Z142" s="2" t="str">
        <f>IF(U142&gt;=0,"Profitable",IF(N142="Cancelled","Order Cancelled",IF(N142="Returned","Order Returned",IF(AND(I142&gt;=0.15,U142&lt;0),"High Discount",IF(S142&gt;H142,"Delivery Cost Exceeded Order Value","Low Order Value / Thin Margin")))))</f>
        <v>Profitable</v>
      </c>
    </row>
    <row r="143" spans="1:26" x14ac:dyDescent="0.3">
      <c r="A143" s="2" t="s">
        <v>355</v>
      </c>
      <c r="B143" s="6">
        <v>46127.771527777797</v>
      </c>
      <c r="C143" s="2" t="s">
        <v>356</v>
      </c>
      <c r="D143" s="2" t="s">
        <v>77</v>
      </c>
      <c r="E143" s="2" t="s">
        <v>5</v>
      </c>
      <c r="F143" s="2" t="s">
        <v>8</v>
      </c>
      <c r="G143" s="2">
        <v>4</v>
      </c>
      <c r="H143" s="3">
        <v>918.84</v>
      </c>
      <c r="I143" s="4">
        <v>0.1</v>
      </c>
      <c r="J143" s="3">
        <v>29</v>
      </c>
      <c r="K143" s="7">
        <f t="shared" si="2"/>
        <v>855.95600000000002</v>
      </c>
      <c r="L143" s="2" t="s">
        <v>16</v>
      </c>
      <c r="M143" s="2" t="s">
        <v>82</v>
      </c>
      <c r="N143" s="2" t="s">
        <v>13</v>
      </c>
      <c r="O143" s="2">
        <v>53</v>
      </c>
      <c r="P143" s="2">
        <v>3</v>
      </c>
      <c r="Q143" s="2" t="str">
        <f>TEXT(tblOrders[[#This Row],[Order Date]],"mmm-yyyy")</f>
        <v>Apr-2026</v>
      </c>
      <c r="R143" s="3">
        <f>IF(N143="Cancelled",0,H143*INDEX(Assumptions!$C$7:$C$12,MATCH(F143,Assumptions!$B$7:$B$12,0)))</f>
        <v>505.36200000000008</v>
      </c>
      <c r="S143" s="3">
        <f>IF(N143="Cancelled",Assumptions!$C$19,IF(N143="Returned",Assumptions!$C$17+O143*Assumptions!$C$18+Assumptions!$C$20,Assumptions!$C$17+O143*Assumptions!$C$18))</f>
        <v>40.9</v>
      </c>
      <c r="T143" s="3">
        <f>R143+S143</f>
        <v>546.26200000000006</v>
      </c>
      <c r="U143" s="7">
        <f>K143-T143</f>
        <v>309.69399999999996</v>
      </c>
      <c r="V143" s="7">
        <f>IF(U143&gt;0,U143,0)</f>
        <v>309.69399999999996</v>
      </c>
      <c r="W143" s="5">
        <f>IF(U143&gt;0,U143/H143,0)</f>
        <v>0.33704888772800484</v>
      </c>
      <c r="X143" s="7">
        <f>IF(U143&lt;0,-U143,0)</f>
        <v>0</v>
      </c>
      <c r="Y143" s="5">
        <f>IF(U143&lt;0,-U143/H143,0)</f>
        <v>0</v>
      </c>
      <c r="Z143" s="2" t="str">
        <f>IF(U143&gt;=0,"Profitable",IF(N143="Cancelled","Order Cancelled",IF(N143="Returned","Order Returned",IF(AND(I143&gt;=0.15,U143&lt;0),"High Discount",IF(S143&gt;H143,"Delivery Cost Exceeded Order Value","Low Order Value / Thin Margin")))))</f>
        <v>Profitable</v>
      </c>
    </row>
    <row r="144" spans="1:26" x14ac:dyDescent="0.3">
      <c r="A144" s="2" t="s">
        <v>357</v>
      </c>
      <c r="B144" s="6">
        <v>46128.340972222199</v>
      </c>
      <c r="C144" s="2" t="s">
        <v>358</v>
      </c>
      <c r="D144" s="2" t="s">
        <v>69</v>
      </c>
      <c r="E144" s="2" t="s">
        <v>3</v>
      </c>
      <c r="F144" s="2" t="s">
        <v>9</v>
      </c>
      <c r="G144" s="2">
        <v>4</v>
      </c>
      <c r="H144" s="3">
        <v>741.79</v>
      </c>
      <c r="I144" s="4">
        <v>0.2</v>
      </c>
      <c r="J144" s="3">
        <v>39</v>
      </c>
      <c r="K144" s="7">
        <f t="shared" si="2"/>
        <v>632.43200000000002</v>
      </c>
      <c r="L144" s="2" t="s">
        <v>18</v>
      </c>
      <c r="M144" s="2" t="s">
        <v>113</v>
      </c>
      <c r="N144" s="2" t="s">
        <v>13</v>
      </c>
      <c r="O144" s="2">
        <v>31</v>
      </c>
      <c r="P144" s="2">
        <v>4</v>
      </c>
      <c r="Q144" s="2" t="str">
        <f>TEXT(tblOrders[[#This Row],[Order Date]],"mmm-yyyy")</f>
        <v>Apr-2026</v>
      </c>
      <c r="R144" s="3">
        <f>IF(N144="Cancelled",0,H144*INDEX(Assumptions!$C$7:$C$12,MATCH(F144,Assumptions!$B$7:$B$12,0)))</f>
        <v>333.80549999999999</v>
      </c>
      <c r="S144" s="3">
        <f>IF(N144="Cancelled",Assumptions!$C$19,IF(N144="Returned",Assumptions!$C$17+O144*Assumptions!$C$18+Assumptions!$C$20,Assumptions!$C$17+O144*Assumptions!$C$18))</f>
        <v>34.299999999999997</v>
      </c>
      <c r="T144" s="3">
        <f>R144+S144</f>
        <v>368.10550000000001</v>
      </c>
      <c r="U144" s="7">
        <f>K144-T144</f>
        <v>264.32650000000001</v>
      </c>
      <c r="V144" s="7">
        <f>IF(U144&gt;0,U144,0)</f>
        <v>264.32650000000001</v>
      </c>
      <c r="W144" s="5">
        <f>IF(U144&gt;0,U144/H144,0)</f>
        <v>0.35633602502055839</v>
      </c>
      <c r="X144" s="7">
        <f>IF(U144&lt;0,-U144,0)</f>
        <v>0</v>
      </c>
      <c r="Y144" s="5">
        <f>IF(U144&lt;0,-U144/H144,0)</f>
        <v>0</v>
      </c>
      <c r="Z144" s="2" t="str">
        <f>IF(U144&gt;=0,"Profitable",IF(N144="Cancelled","Order Cancelled",IF(N144="Returned","Order Returned",IF(AND(I144&gt;=0.15,U144&lt;0),"High Discount",IF(S144&gt;H144,"Delivery Cost Exceeded Order Value","Low Order Value / Thin Margin")))))</f>
        <v>Profitable</v>
      </c>
    </row>
    <row r="145" spans="1:26" x14ac:dyDescent="0.3">
      <c r="A145" s="2" t="s">
        <v>359</v>
      </c>
      <c r="B145" s="6">
        <v>46128.511805555601</v>
      </c>
      <c r="C145" s="2" t="s">
        <v>360</v>
      </c>
      <c r="D145" s="2" t="s">
        <v>87</v>
      </c>
      <c r="E145" s="2" t="s">
        <v>5</v>
      </c>
      <c r="F145" s="2" t="s">
        <v>4</v>
      </c>
      <c r="G145" s="2">
        <v>6</v>
      </c>
      <c r="H145" s="3">
        <v>1107.1600000000001</v>
      </c>
      <c r="I145" s="4">
        <v>0.15</v>
      </c>
      <c r="J145" s="3">
        <v>0</v>
      </c>
      <c r="K145" s="7">
        <f t="shared" si="2"/>
        <v>941.08600000000001</v>
      </c>
      <c r="L145" s="2" t="s">
        <v>19</v>
      </c>
      <c r="M145" s="2" t="s">
        <v>175</v>
      </c>
      <c r="N145" s="2" t="s">
        <v>13</v>
      </c>
      <c r="O145" s="2">
        <v>24</v>
      </c>
      <c r="P145" s="2">
        <v>4</v>
      </c>
      <c r="Q145" s="2" t="str">
        <f>TEXT(tblOrders[[#This Row],[Order Date]],"mmm-yyyy")</f>
        <v>Apr-2026</v>
      </c>
      <c r="R145" s="3">
        <f>IF(N145="Cancelled",0,H145*INDEX(Assumptions!$C$7:$C$12,MATCH(F145,Assumptions!$B$7:$B$12,0)))</f>
        <v>863.58480000000009</v>
      </c>
      <c r="S145" s="3">
        <f>IF(N145="Cancelled",Assumptions!$C$19,IF(N145="Returned",Assumptions!$C$17+O145*Assumptions!$C$18+Assumptions!$C$20,Assumptions!$C$17+O145*Assumptions!$C$18))</f>
        <v>32.200000000000003</v>
      </c>
      <c r="T145" s="3">
        <f>R145+S145</f>
        <v>895.78480000000013</v>
      </c>
      <c r="U145" s="7">
        <f>K145-T145</f>
        <v>45.301199999999881</v>
      </c>
      <c r="V145" s="7">
        <f>IF(U145&gt;0,U145,0)</f>
        <v>45.301199999999881</v>
      </c>
      <c r="W145" s="5">
        <f>IF(U145&gt;0,U145/H145,0)</f>
        <v>4.0916579356190502E-2</v>
      </c>
      <c r="X145" s="7">
        <f>IF(U145&lt;0,-U145,0)</f>
        <v>0</v>
      </c>
      <c r="Y145" s="5">
        <f>IF(U145&lt;0,-U145/H145,0)</f>
        <v>0</v>
      </c>
      <c r="Z145" s="2" t="str">
        <f>IF(U145&gt;=0,"Profitable",IF(N145="Cancelled","Order Cancelled",IF(N145="Returned","Order Returned",IF(AND(I145&gt;=0.15,U145&lt;0),"High Discount",IF(S145&gt;H145,"Delivery Cost Exceeded Order Value","Low Order Value / Thin Margin")))))</f>
        <v>Profitable</v>
      </c>
    </row>
    <row r="146" spans="1:26" x14ac:dyDescent="0.3">
      <c r="A146" s="2" t="s">
        <v>361</v>
      </c>
      <c r="B146" s="6">
        <v>46129.795833333301</v>
      </c>
      <c r="C146" s="2" t="s">
        <v>362</v>
      </c>
      <c r="D146" s="2" t="s">
        <v>81</v>
      </c>
      <c r="E146" s="2" t="s">
        <v>3</v>
      </c>
      <c r="F146" s="2" t="s">
        <v>6</v>
      </c>
      <c r="G146" s="2">
        <v>3</v>
      </c>
      <c r="H146" s="3">
        <v>6115.07</v>
      </c>
      <c r="I146" s="4">
        <v>0</v>
      </c>
      <c r="J146" s="3">
        <v>0</v>
      </c>
      <c r="K146" s="7">
        <f t="shared" si="2"/>
        <v>6115.07</v>
      </c>
      <c r="L146" s="2" t="s">
        <v>19</v>
      </c>
      <c r="M146" s="2" t="s">
        <v>149</v>
      </c>
      <c r="N146" s="2" t="s">
        <v>13</v>
      </c>
      <c r="O146" s="2">
        <v>28</v>
      </c>
      <c r="P146" s="2">
        <v>3</v>
      </c>
      <c r="Q146" s="2" t="str">
        <f>TEXT(tblOrders[[#This Row],[Order Date]],"mmm-yyyy")</f>
        <v>Apr-2026</v>
      </c>
      <c r="R146" s="3">
        <f>IF(N146="Cancelled",0,H146*INDEX(Assumptions!$C$7:$C$12,MATCH(F146,Assumptions!$B$7:$B$12,0)))</f>
        <v>5381.2615999999998</v>
      </c>
      <c r="S146" s="3">
        <f>IF(N146="Cancelled",Assumptions!$C$19,IF(N146="Returned",Assumptions!$C$17+O146*Assumptions!$C$18+Assumptions!$C$20,Assumptions!$C$17+O146*Assumptions!$C$18))</f>
        <v>33.4</v>
      </c>
      <c r="T146" s="3">
        <f>R146+S146</f>
        <v>5414.6615999999995</v>
      </c>
      <c r="U146" s="7">
        <f>K146-T146</f>
        <v>700.40840000000026</v>
      </c>
      <c r="V146" s="7">
        <f>IF(U146&gt;0,U146,0)</f>
        <v>700.40840000000026</v>
      </c>
      <c r="W146" s="5">
        <f>IF(U146&gt;0,U146/H146,0)</f>
        <v>0.11453808378317833</v>
      </c>
      <c r="X146" s="7">
        <f>IF(U146&lt;0,-U146,0)</f>
        <v>0</v>
      </c>
      <c r="Y146" s="5">
        <f>IF(U146&lt;0,-U146/H146,0)</f>
        <v>0</v>
      </c>
      <c r="Z146" s="2" t="str">
        <f>IF(U146&gt;=0,"Profitable",IF(N146="Cancelled","Order Cancelled",IF(N146="Returned","Order Returned",IF(AND(I146&gt;=0.15,U146&lt;0),"High Discount",IF(S146&gt;H146,"Delivery Cost Exceeded Order Value","Low Order Value / Thin Margin")))))</f>
        <v>Profitable</v>
      </c>
    </row>
    <row r="147" spans="1:26" x14ac:dyDescent="0.3">
      <c r="A147" s="2" t="s">
        <v>363</v>
      </c>
      <c r="B147" s="6">
        <v>46129.944444444503</v>
      </c>
      <c r="C147" s="2" t="s">
        <v>364</v>
      </c>
      <c r="D147" s="2" t="s">
        <v>77</v>
      </c>
      <c r="E147" s="2" t="s">
        <v>5</v>
      </c>
      <c r="F147" s="2" t="s">
        <v>8</v>
      </c>
      <c r="G147" s="2">
        <v>4</v>
      </c>
      <c r="H147" s="3">
        <v>2129.1999999999998</v>
      </c>
      <c r="I147" s="4">
        <v>0</v>
      </c>
      <c r="J147" s="3">
        <v>0</v>
      </c>
      <c r="K147" s="7">
        <f t="shared" si="2"/>
        <v>2129.1999999999998</v>
      </c>
      <c r="L147" s="2" t="s">
        <v>16</v>
      </c>
      <c r="M147" s="2" t="s">
        <v>149</v>
      </c>
      <c r="N147" s="2" t="s">
        <v>13</v>
      </c>
      <c r="O147" s="2">
        <v>18</v>
      </c>
      <c r="P147" s="2">
        <v>3</v>
      </c>
      <c r="Q147" s="2" t="str">
        <f>TEXT(tblOrders[[#This Row],[Order Date]],"mmm-yyyy")</f>
        <v>Apr-2026</v>
      </c>
      <c r="R147" s="3">
        <f>IF(N147="Cancelled",0,H147*INDEX(Assumptions!$C$7:$C$12,MATCH(F147,Assumptions!$B$7:$B$12,0)))</f>
        <v>1171.06</v>
      </c>
      <c r="S147" s="3">
        <f>IF(N147="Cancelled",Assumptions!$C$19,IF(N147="Returned",Assumptions!$C$17+O147*Assumptions!$C$18+Assumptions!$C$20,Assumptions!$C$17+O147*Assumptions!$C$18))</f>
        <v>30.4</v>
      </c>
      <c r="T147" s="3">
        <f>R147+S147</f>
        <v>1201.46</v>
      </c>
      <c r="U147" s="7">
        <f>K147-T147</f>
        <v>927.73999999999978</v>
      </c>
      <c r="V147" s="7">
        <f>IF(U147&gt;0,U147,0)</f>
        <v>927.73999999999978</v>
      </c>
      <c r="W147" s="5">
        <f>IF(U147&gt;0,U147/H147,0)</f>
        <v>0.43572233702799168</v>
      </c>
      <c r="X147" s="7">
        <f>IF(U147&lt;0,-U147,0)</f>
        <v>0</v>
      </c>
      <c r="Y147" s="5">
        <f>IF(U147&lt;0,-U147/H147,0)</f>
        <v>0</v>
      </c>
      <c r="Z147" s="2" t="str">
        <f>IF(U147&gt;=0,"Profitable",IF(N147="Cancelled","Order Cancelled",IF(N147="Returned","Order Returned",IF(AND(I147&gt;=0.15,U147&lt;0),"High Discount",IF(S147&gt;H147,"Delivery Cost Exceeded Order Value","Low Order Value / Thin Margin")))))</f>
        <v>Profitable</v>
      </c>
    </row>
    <row r="148" spans="1:26" x14ac:dyDescent="0.3">
      <c r="A148" s="2" t="s">
        <v>365</v>
      </c>
      <c r="B148" s="6">
        <v>46130.627083333296</v>
      </c>
      <c r="C148" s="2" t="s">
        <v>366</v>
      </c>
      <c r="D148" s="2" t="s">
        <v>116</v>
      </c>
      <c r="E148" s="2" t="s">
        <v>3</v>
      </c>
      <c r="F148" s="2" t="s">
        <v>11</v>
      </c>
      <c r="G148" s="2">
        <v>3</v>
      </c>
      <c r="H148" s="3">
        <v>739.55</v>
      </c>
      <c r="I148" s="4">
        <v>0</v>
      </c>
      <c r="J148" s="3">
        <v>59</v>
      </c>
      <c r="K148" s="7">
        <f t="shared" si="2"/>
        <v>798.55</v>
      </c>
      <c r="L148" s="2" t="s">
        <v>18</v>
      </c>
      <c r="M148" s="2" t="s">
        <v>110</v>
      </c>
      <c r="N148" s="2" t="s">
        <v>13</v>
      </c>
      <c r="O148" s="2">
        <v>28</v>
      </c>
      <c r="P148" s="2">
        <v>5</v>
      </c>
      <c r="Q148" s="2" t="str">
        <f>TEXT(tblOrders[[#This Row],[Order Date]],"mmm-yyyy")</f>
        <v>Apr-2026</v>
      </c>
      <c r="R148" s="3">
        <f>IF(N148="Cancelled",0,H148*INDEX(Assumptions!$C$7:$C$12,MATCH(F148,Assumptions!$B$7:$B$12,0)))</f>
        <v>480.70749999999998</v>
      </c>
      <c r="S148" s="3">
        <f>IF(N148="Cancelled",Assumptions!$C$19,IF(N148="Returned",Assumptions!$C$17+O148*Assumptions!$C$18+Assumptions!$C$20,Assumptions!$C$17+O148*Assumptions!$C$18))</f>
        <v>33.4</v>
      </c>
      <c r="T148" s="3">
        <f>R148+S148</f>
        <v>514.10749999999996</v>
      </c>
      <c r="U148" s="7">
        <f>K148-T148</f>
        <v>284.4425</v>
      </c>
      <c r="V148" s="7">
        <f>IF(U148&gt;0,U148,0)</f>
        <v>284.4425</v>
      </c>
      <c r="W148" s="5">
        <f>IF(U148&gt;0,U148/H148,0)</f>
        <v>0.3846156446487729</v>
      </c>
      <c r="X148" s="7">
        <f>IF(U148&lt;0,-U148,0)</f>
        <v>0</v>
      </c>
      <c r="Y148" s="5">
        <f>IF(U148&lt;0,-U148/H148,0)</f>
        <v>0</v>
      </c>
      <c r="Z148" s="2" t="str">
        <f>IF(U148&gt;=0,"Profitable",IF(N148="Cancelled","Order Cancelled",IF(N148="Returned","Order Returned",IF(AND(I148&gt;=0.15,U148&lt;0),"High Discount",IF(S148&gt;H148,"Delivery Cost Exceeded Order Value","Low Order Value / Thin Margin")))))</f>
        <v>Profitable</v>
      </c>
    </row>
    <row r="149" spans="1:26" x14ac:dyDescent="0.3">
      <c r="A149" s="2" t="s">
        <v>367</v>
      </c>
      <c r="B149" s="6">
        <v>46130.784722222197</v>
      </c>
      <c r="C149" s="2" t="s">
        <v>368</v>
      </c>
      <c r="D149" s="2" t="s">
        <v>116</v>
      </c>
      <c r="E149" s="2" t="s">
        <v>3</v>
      </c>
      <c r="F149" s="2" t="s">
        <v>9</v>
      </c>
      <c r="G149" s="2">
        <v>4</v>
      </c>
      <c r="H149" s="3">
        <v>577.39</v>
      </c>
      <c r="I149" s="4">
        <v>0</v>
      </c>
      <c r="J149" s="3">
        <v>39</v>
      </c>
      <c r="K149" s="7">
        <f t="shared" si="2"/>
        <v>616.39</v>
      </c>
      <c r="L149" s="2" t="s">
        <v>16</v>
      </c>
      <c r="M149" s="2" t="s">
        <v>146</v>
      </c>
      <c r="N149" s="2" t="s">
        <v>13</v>
      </c>
      <c r="O149" s="2">
        <v>18</v>
      </c>
      <c r="P149" s="2">
        <v>5</v>
      </c>
      <c r="Q149" s="2" t="str">
        <f>TEXT(tblOrders[[#This Row],[Order Date]],"mmm-yyyy")</f>
        <v>Apr-2026</v>
      </c>
      <c r="R149" s="3">
        <f>IF(N149="Cancelled",0,H149*INDEX(Assumptions!$C$7:$C$12,MATCH(F149,Assumptions!$B$7:$B$12,0)))</f>
        <v>259.82549999999998</v>
      </c>
      <c r="S149" s="3">
        <f>IF(N149="Cancelled",Assumptions!$C$19,IF(N149="Returned",Assumptions!$C$17+O149*Assumptions!$C$18+Assumptions!$C$20,Assumptions!$C$17+O149*Assumptions!$C$18))</f>
        <v>30.4</v>
      </c>
      <c r="T149" s="3">
        <f>R149+S149</f>
        <v>290.22549999999995</v>
      </c>
      <c r="U149" s="7">
        <f>K149-T149</f>
        <v>326.16450000000003</v>
      </c>
      <c r="V149" s="7">
        <f>IF(U149&gt;0,U149,0)</f>
        <v>326.16450000000003</v>
      </c>
      <c r="W149" s="5">
        <f>IF(U149&gt;0,U149/H149,0)</f>
        <v>0.56489461196071988</v>
      </c>
      <c r="X149" s="7">
        <f>IF(U149&lt;0,-U149,0)</f>
        <v>0</v>
      </c>
      <c r="Y149" s="5">
        <f>IF(U149&lt;0,-U149/H149,0)</f>
        <v>0</v>
      </c>
      <c r="Z149" s="2" t="str">
        <f>IF(U149&gt;=0,"Profitable",IF(N149="Cancelled","Order Cancelled",IF(N149="Returned","Order Returned",IF(AND(I149&gt;=0.15,U149&lt;0),"High Discount",IF(S149&gt;H149,"Delivery Cost Exceeded Order Value","Low Order Value / Thin Margin")))))</f>
        <v>Profitable</v>
      </c>
    </row>
    <row r="150" spans="1:26" x14ac:dyDescent="0.3">
      <c r="A150" s="2" t="s">
        <v>369</v>
      </c>
      <c r="B150" s="6">
        <v>46131.823611111096</v>
      </c>
      <c r="C150" s="2" t="s">
        <v>370</v>
      </c>
      <c r="D150" s="2" t="s">
        <v>131</v>
      </c>
      <c r="E150" s="2" t="s">
        <v>3</v>
      </c>
      <c r="F150" s="2" t="s">
        <v>11</v>
      </c>
      <c r="G150" s="2">
        <v>6</v>
      </c>
      <c r="H150" s="3">
        <v>3022.69</v>
      </c>
      <c r="I150" s="4">
        <v>0</v>
      </c>
      <c r="J150" s="3">
        <v>0</v>
      </c>
      <c r="K150" s="7">
        <f t="shared" si="2"/>
        <v>3022.69</v>
      </c>
      <c r="L150" s="2" t="s">
        <v>18</v>
      </c>
      <c r="M150" s="2" t="s">
        <v>82</v>
      </c>
      <c r="N150" s="2" t="s">
        <v>13</v>
      </c>
      <c r="O150" s="2">
        <v>25</v>
      </c>
      <c r="P150" s="2">
        <v>5</v>
      </c>
      <c r="Q150" s="2" t="str">
        <f>TEXT(tblOrders[[#This Row],[Order Date]],"mmm-yyyy")</f>
        <v>Apr-2026</v>
      </c>
      <c r="R150" s="3">
        <f>IF(N150="Cancelled",0,H150*INDEX(Assumptions!$C$7:$C$12,MATCH(F150,Assumptions!$B$7:$B$12,0)))</f>
        <v>1964.7485000000001</v>
      </c>
      <c r="S150" s="3">
        <f>IF(N150="Cancelled",Assumptions!$C$19,IF(N150="Returned",Assumptions!$C$17+O150*Assumptions!$C$18+Assumptions!$C$20,Assumptions!$C$17+O150*Assumptions!$C$18))</f>
        <v>32.5</v>
      </c>
      <c r="T150" s="3">
        <f>R150+S150</f>
        <v>1997.2485000000001</v>
      </c>
      <c r="U150" s="7">
        <f>K150-T150</f>
        <v>1025.4414999999999</v>
      </c>
      <c r="V150" s="7">
        <f>IF(U150&gt;0,U150,0)</f>
        <v>1025.4414999999999</v>
      </c>
      <c r="W150" s="5">
        <f>IF(U150&gt;0,U150/H150,0)</f>
        <v>0.33924798771954778</v>
      </c>
      <c r="X150" s="7">
        <f>IF(U150&lt;0,-U150,0)</f>
        <v>0</v>
      </c>
      <c r="Y150" s="5">
        <f>IF(U150&lt;0,-U150/H150,0)</f>
        <v>0</v>
      </c>
      <c r="Z150" s="2" t="str">
        <f>IF(U150&gt;=0,"Profitable",IF(N150="Cancelled","Order Cancelled",IF(N150="Returned","Order Returned",IF(AND(I150&gt;=0.15,U150&lt;0),"High Discount",IF(S150&gt;H150,"Delivery Cost Exceeded Order Value","Low Order Value / Thin Margin")))))</f>
        <v>Profitable</v>
      </c>
    </row>
    <row r="151" spans="1:26" x14ac:dyDescent="0.3">
      <c r="A151" s="2" t="s">
        <v>371</v>
      </c>
      <c r="B151" s="6">
        <v>46133.4465277778</v>
      </c>
      <c r="C151" s="2" t="s">
        <v>372</v>
      </c>
      <c r="D151" s="2" t="s">
        <v>87</v>
      </c>
      <c r="E151" s="2" t="s">
        <v>3</v>
      </c>
      <c r="F151" s="2" t="s">
        <v>9</v>
      </c>
      <c r="G151" s="2">
        <v>5</v>
      </c>
      <c r="H151" s="3">
        <v>336.3</v>
      </c>
      <c r="I151" s="4">
        <v>0</v>
      </c>
      <c r="J151" s="3">
        <v>29</v>
      </c>
      <c r="K151" s="7">
        <f t="shared" si="2"/>
        <v>365.3</v>
      </c>
      <c r="L151" s="2" t="s">
        <v>14</v>
      </c>
      <c r="M151" s="2" t="s">
        <v>74</v>
      </c>
      <c r="N151" s="2" t="s">
        <v>13</v>
      </c>
      <c r="O151" s="2">
        <v>66</v>
      </c>
      <c r="P151" s="2">
        <v>5</v>
      </c>
      <c r="Q151" s="2" t="str">
        <f>TEXT(tblOrders[[#This Row],[Order Date]],"mmm-yyyy")</f>
        <v>Apr-2026</v>
      </c>
      <c r="R151" s="3">
        <f>IF(N151="Cancelled",0,H151*INDEX(Assumptions!$C$7:$C$12,MATCH(F151,Assumptions!$B$7:$B$12,0)))</f>
        <v>151.33500000000001</v>
      </c>
      <c r="S151" s="3">
        <f>IF(N151="Cancelled",Assumptions!$C$19,IF(N151="Returned",Assumptions!$C$17+O151*Assumptions!$C$18+Assumptions!$C$20,Assumptions!$C$17+O151*Assumptions!$C$18))</f>
        <v>44.8</v>
      </c>
      <c r="T151" s="3">
        <f>R151+S151</f>
        <v>196.13499999999999</v>
      </c>
      <c r="U151" s="7">
        <f>K151-T151</f>
        <v>169.16500000000002</v>
      </c>
      <c r="V151" s="7">
        <f>IF(U151&gt;0,U151,0)</f>
        <v>169.16500000000002</v>
      </c>
      <c r="W151" s="5">
        <f>IF(U151&gt;0,U151/H151,0)</f>
        <v>0.50301813856675592</v>
      </c>
      <c r="X151" s="7">
        <f>IF(U151&lt;0,-U151,0)</f>
        <v>0</v>
      </c>
      <c r="Y151" s="5">
        <f>IF(U151&lt;0,-U151/H151,0)</f>
        <v>0</v>
      </c>
      <c r="Z151" s="2" t="str">
        <f>IF(U151&gt;=0,"Profitable",IF(N151="Cancelled","Order Cancelled",IF(N151="Returned","Order Returned",IF(AND(I151&gt;=0.15,U151&lt;0),"High Discount",IF(S151&gt;H151,"Delivery Cost Exceeded Order Value","Low Order Value / Thin Margin")))))</f>
        <v>Profitable</v>
      </c>
    </row>
    <row r="152" spans="1:26" x14ac:dyDescent="0.3">
      <c r="A152" s="2" t="s">
        <v>373</v>
      </c>
      <c r="B152" s="6">
        <v>46135.359027777798</v>
      </c>
      <c r="C152" s="2" t="s">
        <v>374</v>
      </c>
      <c r="D152" s="2" t="s">
        <v>81</v>
      </c>
      <c r="E152" s="2" t="s">
        <v>3</v>
      </c>
      <c r="F152" s="2" t="s">
        <v>6</v>
      </c>
      <c r="G152" s="2">
        <v>3</v>
      </c>
      <c r="H152" s="3">
        <v>5439.41</v>
      </c>
      <c r="I152" s="4">
        <v>0.05</v>
      </c>
      <c r="J152" s="3">
        <v>0</v>
      </c>
      <c r="K152" s="7">
        <f t="shared" si="2"/>
        <v>5167.4394999999995</v>
      </c>
      <c r="L152" s="2" t="s">
        <v>16</v>
      </c>
      <c r="M152" s="2" t="s">
        <v>91</v>
      </c>
      <c r="N152" s="2" t="s">
        <v>13</v>
      </c>
      <c r="O152" s="2">
        <v>87</v>
      </c>
      <c r="P152" s="2">
        <v>4</v>
      </c>
      <c r="Q152" s="2" t="str">
        <f>TEXT(tblOrders[[#This Row],[Order Date]],"mmm-yyyy")</f>
        <v>Apr-2026</v>
      </c>
      <c r="R152" s="3">
        <f>IF(N152="Cancelled",0,H152*INDEX(Assumptions!$C$7:$C$12,MATCH(F152,Assumptions!$B$7:$B$12,0)))</f>
        <v>4786.6808000000001</v>
      </c>
      <c r="S152" s="3">
        <f>IF(N152="Cancelled",Assumptions!$C$19,IF(N152="Returned",Assumptions!$C$17+O152*Assumptions!$C$18+Assumptions!$C$20,Assumptions!$C$17+O152*Assumptions!$C$18))</f>
        <v>51.099999999999994</v>
      </c>
      <c r="T152" s="3">
        <f>R152+S152</f>
        <v>4837.7808000000005</v>
      </c>
      <c r="U152" s="7">
        <f>K152-T152</f>
        <v>329.65869999999904</v>
      </c>
      <c r="V152" s="7">
        <f>IF(U152&gt;0,U152,0)</f>
        <v>329.65869999999904</v>
      </c>
      <c r="W152" s="5">
        <f>IF(U152&gt;0,U152/H152,0)</f>
        <v>6.0605598768983963E-2</v>
      </c>
      <c r="X152" s="7">
        <f>IF(U152&lt;0,-U152,0)</f>
        <v>0</v>
      </c>
      <c r="Y152" s="5">
        <f>IF(U152&lt;0,-U152/H152,0)</f>
        <v>0</v>
      </c>
      <c r="Z152" s="2" t="str">
        <f>IF(U152&gt;=0,"Profitable",IF(N152="Cancelled","Order Cancelled",IF(N152="Returned","Order Returned",IF(AND(I152&gt;=0.15,U152&lt;0),"High Discount",IF(S152&gt;H152,"Delivery Cost Exceeded Order Value","Low Order Value / Thin Margin")))))</f>
        <v>Profitable</v>
      </c>
    </row>
    <row r="153" spans="1:26" x14ac:dyDescent="0.3">
      <c r="A153" s="2" t="s">
        <v>375</v>
      </c>
      <c r="B153" s="6">
        <v>46135.689583333296</v>
      </c>
      <c r="C153" s="2" t="s">
        <v>376</v>
      </c>
      <c r="D153" s="2" t="s">
        <v>116</v>
      </c>
      <c r="E153" s="2" t="s">
        <v>3</v>
      </c>
      <c r="F153" s="2" t="s">
        <v>9</v>
      </c>
      <c r="G153" s="2">
        <v>3</v>
      </c>
      <c r="H153" s="3">
        <v>409.93</v>
      </c>
      <c r="I153" s="4">
        <v>0.2</v>
      </c>
      <c r="J153" s="3">
        <v>49</v>
      </c>
      <c r="K153" s="7">
        <f t="shared" si="2"/>
        <v>376.94400000000002</v>
      </c>
      <c r="L153" s="2" t="s">
        <v>14</v>
      </c>
      <c r="M153" s="2" t="s">
        <v>88</v>
      </c>
      <c r="N153" s="2" t="s">
        <v>13</v>
      </c>
      <c r="O153" s="2">
        <v>60</v>
      </c>
      <c r="P153" s="2">
        <v>3</v>
      </c>
      <c r="Q153" s="2" t="str">
        <f>TEXT(tblOrders[[#This Row],[Order Date]],"mmm-yyyy")</f>
        <v>Apr-2026</v>
      </c>
      <c r="R153" s="3">
        <f>IF(N153="Cancelled",0,H153*INDEX(Assumptions!$C$7:$C$12,MATCH(F153,Assumptions!$B$7:$B$12,0)))</f>
        <v>184.46850000000001</v>
      </c>
      <c r="S153" s="3">
        <f>IF(N153="Cancelled",Assumptions!$C$19,IF(N153="Returned",Assumptions!$C$17+O153*Assumptions!$C$18+Assumptions!$C$20,Assumptions!$C$17+O153*Assumptions!$C$18))</f>
        <v>43</v>
      </c>
      <c r="T153" s="3">
        <f>R153+S153</f>
        <v>227.46850000000001</v>
      </c>
      <c r="U153" s="7">
        <f>K153-T153</f>
        <v>149.47550000000001</v>
      </c>
      <c r="V153" s="7">
        <f>IF(U153&gt;0,U153,0)</f>
        <v>149.47550000000001</v>
      </c>
      <c r="W153" s="5">
        <f>IF(U153&gt;0,U153/H153,0)</f>
        <v>0.36463664528090162</v>
      </c>
      <c r="X153" s="7">
        <f>IF(U153&lt;0,-U153,0)</f>
        <v>0</v>
      </c>
      <c r="Y153" s="5">
        <f>IF(U153&lt;0,-U153/H153,0)</f>
        <v>0</v>
      </c>
      <c r="Z153" s="2" t="str">
        <f>IF(U153&gt;=0,"Profitable",IF(N153="Cancelled","Order Cancelled",IF(N153="Returned","Order Returned",IF(AND(I153&gt;=0.15,U153&lt;0),"High Discount",IF(S153&gt;H153,"Delivery Cost Exceeded Order Value","Low Order Value / Thin Margin")))))</f>
        <v>Profitable</v>
      </c>
    </row>
    <row r="154" spans="1:26" x14ac:dyDescent="0.3">
      <c r="A154" s="2" t="s">
        <v>377</v>
      </c>
      <c r="B154" s="6">
        <v>46135.947222222203</v>
      </c>
      <c r="C154" s="2" t="s">
        <v>378</v>
      </c>
      <c r="D154" s="2" t="s">
        <v>97</v>
      </c>
      <c r="E154" s="2" t="s">
        <v>3</v>
      </c>
      <c r="F154" s="2" t="s">
        <v>8</v>
      </c>
      <c r="G154" s="2">
        <v>6</v>
      </c>
      <c r="H154" s="3">
        <v>2552.83</v>
      </c>
      <c r="I154" s="4">
        <v>0</v>
      </c>
      <c r="J154" s="3">
        <v>0</v>
      </c>
      <c r="K154" s="7">
        <f t="shared" si="2"/>
        <v>2552.83</v>
      </c>
      <c r="L154" s="2" t="s">
        <v>16</v>
      </c>
      <c r="M154" s="2" t="s">
        <v>149</v>
      </c>
      <c r="N154" s="2" t="s">
        <v>13</v>
      </c>
      <c r="O154" s="2">
        <v>19</v>
      </c>
      <c r="P154" s="2">
        <v>5</v>
      </c>
      <c r="Q154" s="2" t="str">
        <f>TEXT(tblOrders[[#This Row],[Order Date]],"mmm-yyyy")</f>
        <v>Apr-2026</v>
      </c>
      <c r="R154" s="3">
        <f>IF(N154="Cancelled",0,H154*INDEX(Assumptions!$C$7:$C$12,MATCH(F154,Assumptions!$B$7:$B$12,0)))</f>
        <v>1404.0565000000001</v>
      </c>
      <c r="S154" s="3">
        <f>IF(N154="Cancelled",Assumptions!$C$19,IF(N154="Returned",Assumptions!$C$17+O154*Assumptions!$C$18+Assumptions!$C$20,Assumptions!$C$17+O154*Assumptions!$C$18))</f>
        <v>30.7</v>
      </c>
      <c r="T154" s="3">
        <f>R154+S154</f>
        <v>1434.7565000000002</v>
      </c>
      <c r="U154" s="7">
        <f>K154-T154</f>
        <v>1118.0734999999997</v>
      </c>
      <c r="V154" s="7">
        <f>IF(U154&gt;0,U154,0)</f>
        <v>1118.0734999999997</v>
      </c>
      <c r="W154" s="5">
        <f>IF(U154&gt;0,U154/H154,0)</f>
        <v>0.43797413067066737</v>
      </c>
      <c r="X154" s="7">
        <f>IF(U154&lt;0,-U154,0)</f>
        <v>0</v>
      </c>
      <c r="Y154" s="5">
        <f>IF(U154&lt;0,-U154/H154,0)</f>
        <v>0</v>
      </c>
      <c r="Z154" s="2" t="str">
        <f>IF(U154&gt;=0,"Profitable",IF(N154="Cancelled","Order Cancelled",IF(N154="Returned","Order Returned",IF(AND(I154&gt;=0.15,U154&lt;0),"High Discount",IF(S154&gt;H154,"Delivery Cost Exceeded Order Value","Low Order Value / Thin Margin")))))</f>
        <v>Profitable</v>
      </c>
    </row>
    <row r="155" spans="1:26" x14ac:dyDescent="0.3">
      <c r="A155" s="2" t="s">
        <v>379</v>
      </c>
      <c r="B155" s="6">
        <v>46137.4819444444</v>
      </c>
      <c r="C155" s="2" t="s">
        <v>166</v>
      </c>
      <c r="D155" s="2" t="s">
        <v>116</v>
      </c>
      <c r="E155" s="2" t="s">
        <v>5</v>
      </c>
      <c r="F155" s="2" t="s">
        <v>4</v>
      </c>
      <c r="G155" s="2">
        <v>4</v>
      </c>
      <c r="H155" s="3">
        <v>1099.17</v>
      </c>
      <c r="I155" s="4">
        <v>0</v>
      </c>
      <c r="J155" s="3">
        <v>0</v>
      </c>
      <c r="K155" s="7">
        <f t="shared" si="2"/>
        <v>1099.17</v>
      </c>
      <c r="L155" s="2" t="s">
        <v>18</v>
      </c>
      <c r="M155" s="2" t="s">
        <v>107</v>
      </c>
      <c r="N155" s="2" t="s">
        <v>13</v>
      </c>
      <c r="O155" s="2">
        <v>91</v>
      </c>
      <c r="P155" s="2">
        <v>4</v>
      </c>
      <c r="Q155" s="2" t="str">
        <f>TEXT(tblOrders[[#This Row],[Order Date]],"mmm-yyyy")</f>
        <v>Apr-2026</v>
      </c>
      <c r="R155" s="3">
        <f>IF(N155="Cancelled",0,H155*INDEX(Assumptions!$C$7:$C$12,MATCH(F155,Assumptions!$B$7:$B$12,0)))</f>
        <v>857.35260000000005</v>
      </c>
      <c r="S155" s="3">
        <f>IF(N155="Cancelled",Assumptions!$C$19,IF(N155="Returned",Assumptions!$C$17+O155*Assumptions!$C$18+Assumptions!$C$20,Assumptions!$C$17+O155*Assumptions!$C$18))</f>
        <v>52.3</v>
      </c>
      <c r="T155" s="3">
        <f>R155+S155</f>
        <v>909.65260000000001</v>
      </c>
      <c r="U155" s="7">
        <f>K155-T155</f>
        <v>189.51740000000007</v>
      </c>
      <c r="V155" s="7">
        <f>IF(U155&gt;0,U155,0)</f>
        <v>189.51740000000007</v>
      </c>
      <c r="W155" s="5">
        <f>IF(U155&gt;0,U155/H155,0)</f>
        <v>0.17241864315801927</v>
      </c>
      <c r="X155" s="7">
        <f>IF(U155&lt;0,-U155,0)</f>
        <v>0</v>
      </c>
      <c r="Y155" s="5">
        <f>IF(U155&lt;0,-U155/H155,0)</f>
        <v>0</v>
      </c>
      <c r="Z155" s="2" t="str">
        <f>IF(U155&gt;=0,"Profitable",IF(N155="Cancelled","Order Cancelled",IF(N155="Returned","Order Returned",IF(AND(I155&gt;=0.15,U155&lt;0),"High Discount",IF(S155&gt;H155,"Delivery Cost Exceeded Order Value","Low Order Value / Thin Margin")))))</f>
        <v>Profitable</v>
      </c>
    </row>
    <row r="156" spans="1:26" x14ac:dyDescent="0.3">
      <c r="A156" s="2" t="s">
        <v>380</v>
      </c>
      <c r="B156" s="6">
        <v>46138.727083333302</v>
      </c>
      <c r="C156" s="2" t="s">
        <v>381</v>
      </c>
      <c r="D156" s="2" t="s">
        <v>77</v>
      </c>
      <c r="E156" s="2" t="s">
        <v>5</v>
      </c>
      <c r="F156" s="2" t="s">
        <v>6</v>
      </c>
      <c r="G156" s="2">
        <v>2</v>
      </c>
      <c r="H156" s="3">
        <v>4752.5</v>
      </c>
      <c r="I156" s="4">
        <v>0.15</v>
      </c>
      <c r="J156" s="3">
        <v>0</v>
      </c>
      <c r="K156" s="7">
        <f t="shared" si="2"/>
        <v>4039.625</v>
      </c>
      <c r="L156" s="2" t="s">
        <v>14</v>
      </c>
      <c r="M156" s="2" t="s">
        <v>146</v>
      </c>
      <c r="N156" s="2" t="s">
        <v>13</v>
      </c>
      <c r="O156" s="2">
        <v>86</v>
      </c>
      <c r="P156" s="2">
        <v>3</v>
      </c>
      <c r="Q156" s="2" t="str">
        <f>TEXT(tblOrders[[#This Row],[Order Date]],"mmm-yyyy")</f>
        <v>Apr-2026</v>
      </c>
      <c r="R156" s="3">
        <f>IF(N156="Cancelled",0,H156*INDEX(Assumptions!$C$7:$C$12,MATCH(F156,Assumptions!$B$7:$B$12,0)))</f>
        <v>4182.2</v>
      </c>
      <c r="S156" s="3">
        <f>IF(N156="Cancelled",Assumptions!$C$19,IF(N156="Returned",Assumptions!$C$17+O156*Assumptions!$C$18+Assumptions!$C$20,Assumptions!$C$17+O156*Assumptions!$C$18))</f>
        <v>50.8</v>
      </c>
      <c r="T156" s="3">
        <f>R156+S156</f>
        <v>4233</v>
      </c>
      <c r="U156" s="7">
        <f>K156-T156</f>
        <v>-193.375</v>
      </c>
      <c r="V156" s="7">
        <f>IF(U156&gt;0,U156,0)</f>
        <v>0</v>
      </c>
      <c r="W156" s="5">
        <f>IF(U156&gt;0,U156/H156,0)</f>
        <v>0</v>
      </c>
      <c r="X156" s="7">
        <f>IF(U156&lt;0,-U156,0)</f>
        <v>193.375</v>
      </c>
      <c r="Y156" s="5">
        <f>IF(U156&lt;0,-U156/H156,0)</f>
        <v>4.0689110994213573E-2</v>
      </c>
      <c r="Z156" s="2" t="str">
        <f>IF(U156&gt;=0,"Profitable",IF(N156="Cancelled","Order Cancelled",IF(N156="Returned","Order Returned",IF(AND(I156&gt;=0.15,U156&lt;0),"High Discount",IF(S156&gt;H156,"Delivery Cost Exceeded Order Value","Low Order Value / Thin Margin")))))</f>
        <v>High Discount</v>
      </c>
    </row>
    <row r="157" spans="1:26" x14ac:dyDescent="0.3">
      <c r="A157" s="2" t="s">
        <v>382</v>
      </c>
      <c r="B157" s="6">
        <v>46139.352083333302</v>
      </c>
      <c r="C157" s="2" t="s">
        <v>383</v>
      </c>
      <c r="D157" s="2" t="s">
        <v>73</v>
      </c>
      <c r="E157" s="2" t="s">
        <v>5</v>
      </c>
      <c r="F157" s="2" t="s">
        <v>4</v>
      </c>
      <c r="G157" s="2">
        <v>2</v>
      </c>
      <c r="H157" s="3">
        <v>1076.26</v>
      </c>
      <c r="I157" s="4">
        <v>0</v>
      </c>
      <c r="J157" s="3">
        <v>0</v>
      </c>
      <c r="K157" s="7">
        <f t="shared" si="2"/>
        <v>0</v>
      </c>
      <c r="L157" s="2" t="s">
        <v>16</v>
      </c>
      <c r="M157" s="2" t="s">
        <v>78</v>
      </c>
      <c r="N157" s="2" t="s">
        <v>15</v>
      </c>
      <c r="O157" s="2"/>
      <c r="P157" s="2"/>
      <c r="Q157" s="2" t="str">
        <f>TEXT(tblOrders[[#This Row],[Order Date]],"mmm-yyyy")</f>
        <v>Apr-2026</v>
      </c>
      <c r="R157" s="3">
        <f>IF(N157="Cancelled",0,H157*INDEX(Assumptions!$C$7:$C$12,MATCH(F157,Assumptions!$B$7:$B$12,0)))</f>
        <v>0</v>
      </c>
      <c r="S157" s="3">
        <f>IF(N157="Cancelled",Assumptions!$C$19,IF(N157="Returned",Assumptions!$C$17+O157*Assumptions!$C$18+Assumptions!$C$20,Assumptions!$C$17+O157*Assumptions!$C$18))</f>
        <v>15</v>
      </c>
      <c r="T157" s="3">
        <f>R157+S157</f>
        <v>15</v>
      </c>
      <c r="U157" s="7">
        <f>K157-T157</f>
        <v>-15</v>
      </c>
      <c r="V157" s="7">
        <f>IF(U157&gt;0,U157,0)</f>
        <v>0</v>
      </c>
      <c r="W157" s="5">
        <f>IF(U157&gt;0,U157/H157,0)</f>
        <v>0</v>
      </c>
      <c r="X157" s="7">
        <f>IF(U157&lt;0,-U157,0)</f>
        <v>15</v>
      </c>
      <c r="Y157" s="5">
        <f>IF(U157&lt;0,-U157/H157,0)</f>
        <v>1.3937152732611079E-2</v>
      </c>
      <c r="Z157" s="2" t="str">
        <f>IF(U157&gt;=0,"Profitable",IF(N157="Cancelled","Order Cancelled",IF(N157="Returned","Order Returned",IF(AND(I157&gt;=0.15,U157&lt;0),"High Discount",IF(S157&gt;H157,"Delivery Cost Exceeded Order Value","Low Order Value / Thin Margin")))))</f>
        <v>Order Cancelled</v>
      </c>
    </row>
    <row r="158" spans="1:26" x14ac:dyDescent="0.3">
      <c r="A158" s="2" t="s">
        <v>384</v>
      </c>
      <c r="B158" s="6">
        <v>46139.404166666704</v>
      </c>
      <c r="C158" s="2" t="s">
        <v>385</v>
      </c>
      <c r="D158" s="2" t="s">
        <v>69</v>
      </c>
      <c r="E158" s="2" t="s">
        <v>3</v>
      </c>
      <c r="F158" s="2" t="s">
        <v>4</v>
      </c>
      <c r="G158" s="2">
        <v>1</v>
      </c>
      <c r="H158" s="3">
        <v>203.11</v>
      </c>
      <c r="I158" s="4">
        <v>0</v>
      </c>
      <c r="J158" s="3">
        <v>39</v>
      </c>
      <c r="K158" s="7">
        <f t="shared" si="2"/>
        <v>242.11</v>
      </c>
      <c r="L158" s="2" t="s">
        <v>16</v>
      </c>
      <c r="M158" s="2" t="s">
        <v>82</v>
      </c>
      <c r="N158" s="2" t="s">
        <v>13</v>
      </c>
      <c r="O158" s="2">
        <v>44</v>
      </c>
      <c r="P158" s="2">
        <v>3</v>
      </c>
      <c r="Q158" s="2" t="str">
        <f>TEXT(tblOrders[[#This Row],[Order Date]],"mmm-yyyy")</f>
        <v>Apr-2026</v>
      </c>
      <c r="R158" s="3">
        <f>IF(N158="Cancelled",0,H158*INDEX(Assumptions!$C$7:$C$12,MATCH(F158,Assumptions!$B$7:$B$12,0)))</f>
        <v>158.42580000000001</v>
      </c>
      <c r="S158" s="3">
        <f>IF(N158="Cancelled",Assumptions!$C$19,IF(N158="Returned",Assumptions!$C$17+O158*Assumptions!$C$18+Assumptions!$C$20,Assumptions!$C$17+O158*Assumptions!$C$18))</f>
        <v>38.200000000000003</v>
      </c>
      <c r="T158" s="3">
        <f>R158+S158</f>
        <v>196.62580000000003</v>
      </c>
      <c r="U158" s="7">
        <f>K158-T158</f>
        <v>45.484199999999987</v>
      </c>
      <c r="V158" s="7">
        <f>IF(U158&gt;0,U158,0)</f>
        <v>45.484199999999987</v>
      </c>
      <c r="W158" s="5">
        <f>IF(U158&gt;0,U158/H158,0)</f>
        <v>0.22393875240017716</v>
      </c>
      <c r="X158" s="7">
        <f>IF(U158&lt;0,-U158,0)</f>
        <v>0</v>
      </c>
      <c r="Y158" s="5">
        <f>IF(U158&lt;0,-U158/H158,0)</f>
        <v>0</v>
      </c>
      <c r="Z158" s="2" t="str">
        <f>IF(U158&gt;=0,"Profitable",IF(N158="Cancelled","Order Cancelled",IF(N158="Returned","Order Returned",IF(AND(I158&gt;=0.15,U158&lt;0),"High Discount",IF(S158&gt;H158,"Delivery Cost Exceeded Order Value","Low Order Value / Thin Margin")))))</f>
        <v>Profitable</v>
      </c>
    </row>
    <row r="159" spans="1:26" x14ac:dyDescent="0.3">
      <c r="A159" s="2" t="s">
        <v>386</v>
      </c>
      <c r="B159" s="6">
        <v>46139.405555555597</v>
      </c>
      <c r="C159" s="2" t="s">
        <v>387</v>
      </c>
      <c r="D159" s="2" t="s">
        <v>116</v>
      </c>
      <c r="E159" s="2" t="s">
        <v>3</v>
      </c>
      <c r="F159" s="2" t="s">
        <v>4</v>
      </c>
      <c r="G159" s="2">
        <v>4</v>
      </c>
      <c r="H159" s="3">
        <v>637.66</v>
      </c>
      <c r="I159" s="4">
        <v>0</v>
      </c>
      <c r="J159" s="3">
        <v>39</v>
      </c>
      <c r="K159" s="7">
        <f t="shared" si="2"/>
        <v>0</v>
      </c>
      <c r="L159" s="2" t="s">
        <v>18</v>
      </c>
      <c r="M159" s="2" t="s">
        <v>88</v>
      </c>
      <c r="N159" s="2" t="s">
        <v>15</v>
      </c>
      <c r="O159" s="2"/>
      <c r="P159" s="2"/>
      <c r="Q159" s="2" t="str">
        <f>TEXT(tblOrders[[#This Row],[Order Date]],"mmm-yyyy")</f>
        <v>Apr-2026</v>
      </c>
      <c r="R159" s="3">
        <f>IF(N159="Cancelled",0,H159*INDEX(Assumptions!$C$7:$C$12,MATCH(F159,Assumptions!$B$7:$B$12,0)))</f>
        <v>0</v>
      </c>
      <c r="S159" s="3">
        <f>IF(N159="Cancelled",Assumptions!$C$19,IF(N159="Returned",Assumptions!$C$17+O159*Assumptions!$C$18+Assumptions!$C$20,Assumptions!$C$17+O159*Assumptions!$C$18))</f>
        <v>15</v>
      </c>
      <c r="T159" s="3">
        <f>R159+S159</f>
        <v>15</v>
      </c>
      <c r="U159" s="7">
        <f>K159-T159</f>
        <v>-15</v>
      </c>
      <c r="V159" s="7">
        <f>IF(U159&gt;0,U159,0)</f>
        <v>0</v>
      </c>
      <c r="W159" s="5">
        <f>IF(U159&gt;0,U159/H159,0)</f>
        <v>0</v>
      </c>
      <c r="X159" s="7">
        <f>IF(U159&lt;0,-U159,0)</f>
        <v>15</v>
      </c>
      <c r="Y159" s="5">
        <f>IF(U159&lt;0,-U159/H159,0)</f>
        <v>2.3523507825486938E-2</v>
      </c>
      <c r="Z159" s="2" t="str">
        <f>IF(U159&gt;=0,"Profitable",IF(N159="Cancelled","Order Cancelled",IF(N159="Returned","Order Returned",IF(AND(I159&gt;=0.15,U159&lt;0),"High Discount",IF(S159&gt;H159,"Delivery Cost Exceeded Order Value","Low Order Value / Thin Margin")))))</f>
        <v>Order Cancelled</v>
      </c>
    </row>
    <row r="160" spans="1:26" x14ac:dyDescent="0.3">
      <c r="A160" s="2" t="s">
        <v>388</v>
      </c>
      <c r="B160" s="6">
        <v>46139.682638888902</v>
      </c>
      <c r="C160" s="2" t="s">
        <v>389</v>
      </c>
      <c r="D160" s="2" t="s">
        <v>69</v>
      </c>
      <c r="E160" s="2" t="s">
        <v>5</v>
      </c>
      <c r="F160" s="2" t="s">
        <v>4</v>
      </c>
      <c r="G160" s="2">
        <v>2</v>
      </c>
      <c r="H160" s="3">
        <v>536.07000000000005</v>
      </c>
      <c r="I160" s="4">
        <v>0</v>
      </c>
      <c r="J160" s="3">
        <v>29</v>
      </c>
      <c r="K160" s="7">
        <f t="shared" si="2"/>
        <v>565.07000000000005</v>
      </c>
      <c r="L160" s="2" t="s">
        <v>14</v>
      </c>
      <c r="M160" s="2" t="s">
        <v>113</v>
      </c>
      <c r="N160" s="2" t="s">
        <v>13</v>
      </c>
      <c r="O160" s="2">
        <v>83</v>
      </c>
      <c r="P160" s="2">
        <v>3</v>
      </c>
      <c r="Q160" s="2" t="str">
        <f>TEXT(tblOrders[[#This Row],[Order Date]],"mmm-yyyy")</f>
        <v>Apr-2026</v>
      </c>
      <c r="R160" s="3">
        <f>IF(N160="Cancelled",0,H160*INDEX(Assumptions!$C$7:$C$12,MATCH(F160,Assumptions!$B$7:$B$12,0)))</f>
        <v>418.13460000000003</v>
      </c>
      <c r="S160" s="3">
        <f>IF(N160="Cancelled",Assumptions!$C$19,IF(N160="Returned",Assumptions!$C$17+O160*Assumptions!$C$18+Assumptions!$C$20,Assumptions!$C$17+O160*Assumptions!$C$18))</f>
        <v>49.9</v>
      </c>
      <c r="T160" s="3">
        <f>R160+S160</f>
        <v>468.03460000000001</v>
      </c>
      <c r="U160" s="7">
        <f>K160-T160</f>
        <v>97.035400000000038</v>
      </c>
      <c r="V160" s="7">
        <f>IF(U160&gt;0,U160,0)</f>
        <v>97.035400000000038</v>
      </c>
      <c r="W160" s="5">
        <f>IF(U160&gt;0,U160/H160,0)</f>
        <v>0.18101255433059121</v>
      </c>
      <c r="X160" s="7">
        <f>IF(U160&lt;0,-U160,0)</f>
        <v>0</v>
      </c>
      <c r="Y160" s="5">
        <f>IF(U160&lt;0,-U160/H160,0)</f>
        <v>0</v>
      </c>
      <c r="Z160" s="2" t="str">
        <f>IF(U160&gt;=0,"Profitable",IF(N160="Cancelled","Order Cancelled",IF(N160="Returned","Order Returned",IF(AND(I160&gt;=0.15,U160&lt;0),"High Discount",IF(S160&gt;H160,"Delivery Cost Exceeded Order Value","Low Order Value / Thin Margin")))))</f>
        <v>Profitable</v>
      </c>
    </row>
    <row r="161" spans="1:26" x14ac:dyDescent="0.3">
      <c r="A161" s="2" t="s">
        <v>390</v>
      </c>
      <c r="B161" s="6">
        <v>46139.8881944444</v>
      </c>
      <c r="C161" s="2" t="s">
        <v>391</v>
      </c>
      <c r="D161" s="2" t="s">
        <v>131</v>
      </c>
      <c r="E161" s="2" t="s">
        <v>3</v>
      </c>
      <c r="F161" s="2" t="s">
        <v>4</v>
      </c>
      <c r="G161" s="2">
        <v>4</v>
      </c>
      <c r="H161" s="3">
        <v>261.99</v>
      </c>
      <c r="I161" s="4">
        <v>0.05</v>
      </c>
      <c r="J161" s="3">
        <v>49</v>
      </c>
      <c r="K161" s="7">
        <f t="shared" si="2"/>
        <v>49</v>
      </c>
      <c r="L161" s="2" t="s">
        <v>18</v>
      </c>
      <c r="M161" s="2" t="s">
        <v>175</v>
      </c>
      <c r="N161" s="2" t="s">
        <v>17</v>
      </c>
      <c r="O161" s="2">
        <v>55</v>
      </c>
      <c r="P161" s="2">
        <v>1</v>
      </c>
      <c r="Q161" s="2" t="str">
        <f>TEXT(tblOrders[[#This Row],[Order Date]],"mmm-yyyy")</f>
        <v>Apr-2026</v>
      </c>
      <c r="R161" s="3">
        <f>IF(N161="Cancelled",0,H161*INDEX(Assumptions!$C$7:$C$12,MATCH(F161,Assumptions!$B$7:$B$12,0)))</f>
        <v>204.35220000000001</v>
      </c>
      <c r="S161" s="3">
        <f>IF(N161="Cancelled",Assumptions!$C$19,IF(N161="Returned",Assumptions!$C$17+O161*Assumptions!$C$18+Assumptions!$C$20,Assumptions!$C$17+O161*Assumptions!$C$18))</f>
        <v>61.5</v>
      </c>
      <c r="T161" s="3">
        <f>R161+S161</f>
        <v>265.85220000000004</v>
      </c>
      <c r="U161" s="7">
        <f>K161-T161</f>
        <v>-216.85220000000004</v>
      </c>
      <c r="V161" s="7">
        <f>IF(U161&gt;0,U161,0)</f>
        <v>0</v>
      </c>
      <c r="W161" s="5">
        <f>IF(U161&gt;0,U161/H161,0)</f>
        <v>0</v>
      </c>
      <c r="X161" s="7">
        <f>IF(U161&lt;0,-U161,0)</f>
        <v>216.85220000000004</v>
      </c>
      <c r="Y161" s="5">
        <f>IF(U161&lt;0,-U161/H161,0)</f>
        <v>0.82771174472308118</v>
      </c>
      <c r="Z161" s="2" t="str">
        <f>IF(U161&gt;=0,"Profitable",IF(N161="Cancelled","Order Cancelled",IF(N161="Returned","Order Returned",IF(AND(I161&gt;=0.15,U161&lt;0),"High Discount",IF(S161&gt;H161,"Delivery Cost Exceeded Order Value","Low Order Value / Thin Margin")))))</f>
        <v>Order Returned</v>
      </c>
    </row>
    <row r="162" spans="1:26" x14ac:dyDescent="0.3">
      <c r="A162" s="2" t="s">
        <v>392</v>
      </c>
      <c r="B162" s="6">
        <v>46140.582638888904</v>
      </c>
      <c r="C162" s="2" t="s">
        <v>393</v>
      </c>
      <c r="D162" s="2" t="s">
        <v>97</v>
      </c>
      <c r="E162" s="2" t="s">
        <v>3</v>
      </c>
      <c r="F162" s="2" t="s">
        <v>9</v>
      </c>
      <c r="G162" s="2">
        <v>4</v>
      </c>
      <c r="H162" s="3">
        <v>596.92999999999995</v>
      </c>
      <c r="I162" s="4">
        <v>0.1</v>
      </c>
      <c r="J162" s="3">
        <v>29</v>
      </c>
      <c r="K162" s="7">
        <f t="shared" si="2"/>
        <v>566.23699999999997</v>
      </c>
      <c r="L162" s="2" t="s">
        <v>14</v>
      </c>
      <c r="M162" s="2" t="s">
        <v>74</v>
      </c>
      <c r="N162" s="2" t="s">
        <v>13</v>
      </c>
      <c r="O162" s="2">
        <v>82</v>
      </c>
      <c r="P162" s="2">
        <v>4</v>
      </c>
      <c r="Q162" s="2" t="str">
        <f>TEXT(tblOrders[[#This Row],[Order Date]],"mmm-yyyy")</f>
        <v>Apr-2026</v>
      </c>
      <c r="R162" s="3">
        <f>IF(N162="Cancelled",0,H162*INDEX(Assumptions!$C$7:$C$12,MATCH(F162,Assumptions!$B$7:$B$12,0)))</f>
        <v>268.61849999999998</v>
      </c>
      <c r="S162" s="3">
        <f>IF(N162="Cancelled",Assumptions!$C$19,IF(N162="Returned",Assumptions!$C$17+O162*Assumptions!$C$18+Assumptions!$C$20,Assumptions!$C$17+O162*Assumptions!$C$18))</f>
        <v>49.599999999999994</v>
      </c>
      <c r="T162" s="3">
        <f>R162+S162</f>
        <v>318.21849999999995</v>
      </c>
      <c r="U162" s="7">
        <f>K162-T162</f>
        <v>248.01850000000002</v>
      </c>
      <c r="V162" s="7">
        <f>IF(U162&gt;0,U162,0)</f>
        <v>248.01850000000002</v>
      </c>
      <c r="W162" s="5">
        <f>IF(U162&gt;0,U162/H162,0)</f>
        <v>0.41549009096543987</v>
      </c>
      <c r="X162" s="7">
        <f>IF(U162&lt;0,-U162,0)</f>
        <v>0</v>
      </c>
      <c r="Y162" s="5">
        <f>IF(U162&lt;0,-U162/H162,0)</f>
        <v>0</v>
      </c>
      <c r="Z162" s="2" t="str">
        <f>IF(U162&gt;=0,"Profitable",IF(N162="Cancelled","Order Cancelled",IF(N162="Returned","Order Returned",IF(AND(I162&gt;=0.15,U162&lt;0),"High Discount",IF(S162&gt;H162,"Delivery Cost Exceeded Order Value","Low Order Value / Thin Margin")))))</f>
        <v>Profitable</v>
      </c>
    </row>
    <row r="163" spans="1:26" x14ac:dyDescent="0.3">
      <c r="A163" s="2" t="s">
        <v>394</v>
      </c>
      <c r="B163" s="6">
        <v>46141.403472222199</v>
      </c>
      <c r="C163" s="2" t="s">
        <v>395</v>
      </c>
      <c r="D163" s="2" t="s">
        <v>116</v>
      </c>
      <c r="E163" s="2" t="s">
        <v>3</v>
      </c>
      <c r="F163" s="2" t="s">
        <v>10</v>
      </c>
      <c r="G163" s="2">
        <v>6</v>
      </c>
      <c r="H163" s="3">
        <v>494.44</v>
      </c>
      <c r="I163" s="4">
        <v>0.15</v>
      </c>
      <c r="J163" s="3">
        <v>49</v>
      </c>
      <c r="K163" s="7">
        <f t="shared" si="2"/>
        <v>469.274</v>
      </c>
      <c r="L163" s="2" t="s">
        <v>19</v>
      </c>
      <c r="M163" s="2" t="s">
        <v>107</v>
      </c>
      <c r="N163" s="2" t="s">
        <v>13</v>
      </c>
      <c r="O163" s="2">
        <v>78</v>
      </c>
      <c r="P163" s="2">
        <v>3</v>
      </c>
      <c r="Q163" s="2" t="str">
        <f>TEXT(tblOrders[[#This Row],[Order Date]],"mmm-yyyy")</f>
        <v>Apr-2026</v>
      </c>
      <c r="R163" s="3">
        <f>IF(N163="Cancelled",0,H163*INDEX(Assumptions!$C$7:$C$12,MATCH(F163,Assumptions!$B$7:$B$12,0)))</f>
        <v>346.108</v>
      </c>
      <c r="S163" s="3">
        <f>IF(N163="Cancelled",Assumptions!$C$19,IF(N163="Returned",Assumptions!$C$17+O163*Assumptions!$C$18+Assumptions!$C$20,Assumptions!$C$17+O163*Assumptions!$C$18))</f>
        <v>48.4</v>
      </c>
      <c r="T163" s="3">
        <f>R163+S163</f>
        <v>394.50799999999998</v>
      </c>
      <c r="U163" s="7">
        <f>K163-T163</f>
        <v>74.76600000000002</v>
      </c>
      <c r="V163" s="7">
        <f>IF(U163&gt;0,U163,0)</f>
        <v>74.76600000000002</v>
      </c>
      <c r="W163" s="5">
        <f>IF(U163&gt;0,U163/H163,0)</f>
        <v>0.15121349405387918</v>
      </c>
      <c r="X163" s="7">
        <f>IF(U163&lt;0,-U163,0)</f>
        <v>0</v>
      </c>
      <c r="Y163" s="5">
        <f>IF(U163&lt;0,-U163/H163,0)</f>
        <v>0</v>
      </c>
      <c r="Z163" s="2" t="str">
        <f>IF(U163&gt;=0,"Profitable",IF(N163="Cancelled","Order Cancelled",IF(N163="Returned","Order Returned",IF(AND(I163&gt;=0.15,U163&lt;0),"High Discount",IF(S163&gt;H163,"Delivery Cost Exceeded Order Value","Low Order Value / Thin Margin")))))</f>
        <v>Profitable</v>
      </c>
    </row>
    <row r="164" spans="1:26" x14ac:dyDescent="0.3">
      <c r="A164" s="2" t="s">
        <v>396</v>
      </c>
      <c r="B164" s="6">
        <v>46142.410416666702</v>
      </c>
      <c r="C164" s="2" t="s">
        <v>397</v>
      </c>
      <c r="D164" s="2" t="s">
        <v>116</v>
      </c>
      <c r="E164" s="2" t="s">
        <v>3</v>
      </c>
      <c r="F164" s="2" t="s">
        <v>11</v>
      </c>
      <c r="G164" s="2">
        <v>3</v>
      </c>
      <c r="H164" s="3">
        <v>5503.12</v>
      </c>
      <c r="I164" s="4">
        <v>0</v>
      </c>
      <c r="J164" s="3">
        <v>0</v>
      </c>
      <c r="K164" s="7">
        <f t="shared" si="2"/>
        <v>5503.12</v>
      </c>
      <c r="L164" s="2" t="s">
        <v>18</v>
      </c>
      <c r="M164" s="2" t="s">
        <v>74</v>
      </c>
      <c r="N164" s="2" t="s">
        <v>13</v>
      </c>
      <c r="O164" s="2">
        <v>90</v>
      </c>
      <c r="P164" s="2">
        <v>3</v>
      </c>
      <c r="Q164" s="2" t="str">
        <f>TEXT(tblOrders[[#This Row],[Order Date]],"mmm-yyyy")</f>
        <v>Apr-2026</v>
      </c>
      <c r="R164" s="3">
        <f>IF(N164="Cancelled",0,H164*INDEX(Assumptions!$C$7:$C$12,MATCH(F164,Assumptions!$B$7:$B$12,0)))</f>
        <v>3577.0280000000002</v>
      </c>
      <c r="S164" s="3">
        <f>IF(N164="Cancelled",Assumptions!$C$19,IF(N164="Returned",Assumptions!$C$17+O164*Assumptions!$C$18+Assumptions!$C$20,Assumptions!$C$17+O164*Assumptions!$C$18))</f>
        <v>52</v>
      </c>
      <c r="T164" s="3">
        <f>R164+S164</f>
        <v>3629.0280000000002</v>
      </c>
      <c r="U164" s="7">
        <f>K164-T164</f>
        <v>1874.0919999999996</v>
      </c>
      <c r="V164" s="7">
        <f>IF(U164&gt;0,U164,0)</f>
        <v>1874.0919999999996</v>
      </c>
      <c r="W164" s="5">
        <f>IF(U164&gt;0,U164/H164,0)</f>
        <v>0.34055081481050742</v>
      </c>
      <c r="X164" s="7">
        <f>IF(U164&lt;0,-U164,0)</f>
        <v>0</v>
      </c>
      <c r="Y164" s="5">
        <f>IF(U164&lt;0,-U164/H164,0)</f>
        <v>0</v>
      </c>
      <c r="Z164" s="2" t="str">
        <f>IF(U164&gt;=0,"Profitable",IF(N164="Cancelled","Order Cancelled",IF(N164="Returned","Order Returned",IF(AND(I164&gt;=0.15,U164&lt;0),"High Discount",IF(S164&gt;H164,"Delivery Cost Exceeded Order Value","Low Order Value / Thin Margin")))))</f>
        <v>Profitable</v>
      </c>
    </row>
    <row r="165" spans="1:26" x14ac:dyDescent="0.3">
      <c r="A165" s="2" t="s">
        <v>398</v>
      </c>
      <c r="B165" s="6">
        <v>46142.619444444397</v>
      </c>
      <c r="C165" s="2" t="s">
        <v>399</v>
      </c>
      <c r="D165" s="2" t="s">
        <v>87</v>
      </c>
      <c r="E165" s="2" t="s">
        <v>3</v>
      </c>
      <c r="F165" s="2" t="s">
        <v>9</v>
      </c>
      <c r="G165" s="2">
        <v>2</v>
      </c>
      <c r="H165" s="3">
        <v>764.58</v>
      </c>
      <c r="I165" s="4">
        <v>0</v>
      </c>
      <c r="J165" s="3">
        <v>49</v>
      </c>
      <c r="K165" s="7">
        <f t="shared" si="2"/>
        <v>813.58</v>
      </c>
      <c r="L165" s="2" t="s">
        <v>19</v>
      </c>
      <c r="M165" s="2" t="s">
        <v>143</v>
      </c>
      <c r="N165" s="2" t="s">
        <v>13</v>
      </c>
      <c r="O165" s="2">
        <v>77</v>
      </c>
      <c r="P165" s="2">
        <v>5</v>
      </c>
      <c r="Q165" s="2" t="str">
        <f>TEXT(tblOrders[[#This Row],[Order Date]],"mmm-yyyy")</f>
        <v>Apr-2026</v>
      </c>
      <c r="R165" s="3">
        <f>IF(N165="Cancelled",0,H165*INDEX(Assumptions!$C$7:$C$12,MATCH(F165,Assumptions!$B$7:$B$12,0)))</f>
        <v>344.06100000000004</v>
      </c>
      <c r="S165" s="3">
        <f>IF(N165="Cancelled",Assumptions!$C$19,IF(N165="Returned",Assumptions!$C$17+O165*Assumptions!$C$18+Assumptions!$C$20,Assumptions!$C$17+O165*Assumptions!$C$18))</f>
        <v>48.099999999999994</v>
      </c>
      <c r="T165" s="3">
        <f>R165+S165</f>
        <v>392.16100000000006</v>
      </c>
      <c r="U165" s="7">
        <f>K165-T165</f>
        <v>421.41899999999998</v>
      </c>
      <c r="V165" s="7">
        <f>IF(U165&gt;0,U165,0)</f>
        <v>421.41899999999998</v>
      </c>
      <c r="W165" s="5">
        <f>IF(U165&gt;0,U165/H165,0)</f>
        <v>0.55117711684846582</v>
      </c>
      <c r="X165" s="7">
        <f>IF(U165&lt;0,-U165,0)</f>
        <v>0</v>
      </c>
      <c r="Y165" s="5">
        <f>IF(U165&lt;0,-U165/H165,0)</f>
        <v>0</v>
      </c>
      <c r="Z165" s="2" t="str">
        <f>IF(U165&gt;=0,"Profitable",IF(N165="Cancelled","Order Cancelled",IF(N165="Returned","Order Returned",IF(AND(I165&gt;=0.15,U165&lt;0),"High Discount",IF(S165&gt;H165,"Delivery Cost Exceeded Order Value","Low Order Value / Thin Margin")))))</f>
        <v>Profitable</v>
      </c>
    </row>
    <row r="166" spans="1:26" x14ac:dyDescent="0.3">
      <c r="A166" s="2" t="s">
        <v>400</v>
      </c>
      <c r="B166" s="6">
        <v>46142.772916666698</v>
      </c>
      <c r="C166" s="2" t="s">
        <v>401</v>
      </c>
      <c r="D166" s="2" t="s">
        <v>81</v>
      </c>
      <c r="E166" s="2" t="s">
        <v>5</v>
      </c>
      <c r="F166" s="2" t="s">
        <v>6</v>
      </c>
      <c r="G166" s="2">
        <v>5</v>
      </c>
      <c r="H166" s="3">
        <v>9885.07</v>
      </c>
      <c r="I166" s="4">
        <v>0</v>
      </c>
      <c r="J166" s="3">
        <v>0</v>
      </c>
      <c r="K166" s="7">
        <f t="shared" si="2"/>
        <v>9885.07</v>
      </c>
      <c r="L166" s="2" t="s">
        <v>16</v>
      </c>
      <c r="M166" s="2" t="s">
        <v>91</v>
      </c>
      <c r="N166" s="2" t="s">
        <v>13</v>
      </c>
      <c r="O166" s="2">
        <v>25</v>
      </c>
      <c r="P166" s="2">
        <v>3</v>
      </c>
      <c r="Q166" s="2" t="str">
        <f>TEXT(tblOrders[[#This Row],[Order Date]],"mmm-yyyy")</f>
        <v>Apr-2026</v>
      </c>
      <c r="R166" s="3">
        <f>IF(N166="Cancelled",0,H166*INDEX(Assumptions!$C$7:$C$12,MATCH(F166,Assumptions!$B$7:$B$12,0)))</f>
        <v>8698.8616000000002</v>
      </c>
      <c r="S166" s="3">
        <f>IF(N166="Cancelled",Assumptions!$C$19,IF(N166="Returned",Assumptions!$C$17+O166*Assumptions!$C$18+Assumptions!$C$20,Assumptions!$C$17+O166*Assumptions!$C$18))</f>
        <v>32.5</v>
      </c>
      <c r="T166" s="3">
        <f>R166+S166</f>
        <v>8731.3616000000002</v>
      </c>
      <c r="U166" s="7">
        <f>K166-T166</f>
        <v>1153.7083999999995</v>
      </c>
      <c r="V166" s="7">
        <f>IF(U166&gt;0,U166,0)</f>
        <v>1153.7083999999995</v>
      </c>
      <c r="W166" s="5">
        <f>IF(U166&gt;0,U166/H166,0)</f>
        <v>0.11671221346940382</v>
      </c>
      <c r="X166" s="7">
        <f>IF(U166&lt;0,-U166,0)</f>
        <v>0</v>
      </c>
      <c r="Y166" s="5">
        <f>IF(U166&lt;0,-U166/H166,0)</f>
        <v>0</v>
      </c>
      <c r="Z166" s="2" t="str">
        <f>IF(U166&gt;=0,"Profitable",IF(N166="Cancelled","Order Cancelled",IF(N166="Returned","Order Returned",IF(AND(I166&gt;=0.15,U166&lt;0),"High Discount",IF(S166&gt;H166,"Delivery Cost Exceeded Order Value","Low Order Value / Thin Margin")))))</f>
        <v>Profitable</v>
      </c>
    </row>
    <row r="167" spans="1:26" x14ac:dyDescent="0.3">
      <c r="A167" s="2" t="s">
        <v>402</v>
      </c>
      <c r="B167" s="6">
        <v>46142.857638888898</v>
      </c>
      <c r="C167" s="2" t="s">
        <v>403</v>
      </c>
      <c r="D167" s="2" t="s">
        <v>77</v>
      </c>
      <c r="E167" s="2" t="s">
        <v>5</v>
      </c>
      <c r="F167" s="2" t="s">
        <v>4</v>
      </c>
      <c r="G167" s="2">
        <v>1</v>
      </c>
      <c r="H167" s="3">
        <v>474.76</v>
      </c>
      <c r="I167" s="4">
        <v>0.15</v>
      </c>
      <c r="J167" s="3">
        <v>59</v>
      </c>
      <c r="K167" s="7">
        <f t="shared" si="2"/>
        <v>462.54599999999999</v>
      </c>
      <c r="L167" s="2" t="s">
        <v>19</v>
      </c>
      <c r="M167" s="2" t="s">
        <v>74</v>
      </c>
      <c r="N167" s="2" t="s">
        <v>13</v>
      </c>
      <c r="O167" s="2">
        <v>91</v>
      </c>
      <c r="P167" s="2">
        <v>3</v>
      </c>
      <c r="Q167" s="2" t="str">
        <f>TEXT(tblOrders[[#This Row],[Order Date]],"mmm-yyyy")</f>
        <v>Apr-2026</v>
      </c>
      <c r="R167" s="3">
        <f>IF(N167="Cancelled",0,H167*INDEX(Assumptions!$C$7:$C$12,MATCH(F167,Assumptions!$B$7:$B$12,0)))</f>
        <v>370.31279999999998</v>
      </c>
      <c r="S167" s="3">
        <f>IF(N167="Cancelled",Assumptions!$C$19,IF(N167="Returned",Assumptions!$C$17+O167*Assumptions!$C$18+Assumptions!$C$20,Assumptions!$C$17+O167*Assumptions!$C$18))</f>
        <v>52.3</v>
      </c>
      <c r="T167" s="3">
        <f>R167+S167</f>
        <v>422.61279999999999</v>
      </c>
      <c r="U167" s="7">
        <f>K167-T167</f>
        <v>39.933199999999999</v>
      </c>
      <c r="V167" s="7">
        <f>IF(U167&gt;0,U167,0)</f>
        <v>39.933199999999999</v>
      </c>
      <c r="W167" s="5">
        <f>IF(U167&gt;0,U167/H167,0)</f>
        <v>8.4112393630465923E-2</v>
      </c>
      <c r="X167" s="7">
        <f>IF(U167&lt;0,-U167,0)</f>
        <v>0</v>
      </c>
      <c r="Y167" s="5">
        <f>IF(U167&lt;0,-U167/H167,0)</f>
        <v>0</v>
      </c>
      <c r="Z167" s="2" t="str">
        <f>IF(U167&gt;=0,"Profitable",IF(N167="Cancelled","Order Cancelled",IF(N167="Returned","Order Returned",IF(AND(I167&gt;=0.15,U167&lt;0),"High Discount",IF(S167&gt;H167,"Delivery Cost Exceeded Order Value","Low Order Value / Thin Margin")))))</f>
        <v>Profitable</v>
      </c>
    </row>
    <row r="168" spans="1:26" x14ac:dyDescent="0.3">
      <c r="A168" s="2" t="s">
        <v>404</v>
      </c>
      <c r="B168" s="6">
        <v>46143.644444444399</v>
      </c>
      <c r="C168" s="2" t="s">
        <v>405</v>
      </c>
      <c r="D168" s="2" t="s">
        <v>81</v>
      </c>
      <c r="E168" s="2" t="s">
        <v>5</v>
      </c>
      <c r="F168" s="2" t="s">
        <v>6</v>
      </c>
      <c r="G168" s="2">
        <v>3</v>
      </c>
      <c r="H168" s="3">
        <v>14163.1</v>
      </c>
      <c r="I168" s="4">
        <v>0.05</v>
      </c>
      <c r="J168" s="3">
        <v>0</v>
      </c>
      <c r="K168" s="7">
        <f t="shared" si="2"/>
        <v>13454.945</v>
      </c>
      <c r="L168" s="2" t="s">
        <v>14</v>
      </c>
      <c r="M168" s="2" t="s">
        <v>164</v>
      </c>
      <c r="N168" s="2" t="s">
        <v>13</v>
      </c>
      <c r="O168" s="2">
        <v>69</v>
      </c>
      <c r="P168" s="2">
        <v>4</v>
      </c>
      <c r="Q168" s="2" t="str">
        <f>TEXT(tblOrders[[#This Row],[Order Date]],"mmm-yyyy")</f>
        <v>May-2026</v>
      </c>
      <c r="R168" s="3">
        <f>IF(N168="Cancelled",0,H168*INDEX(Assumptions!$C$7:$C$12,MATCH(F168,Assumptions!$B$7:$B$12,0)))</f>
        <v>12463.528</v>
      </c>
      <c r="S168" s="3">
        <f>IF(N168="Cancelled",Assumptions!$C$19,IF(N168="Returned",Assumptions!$C$17+O168*Assumptions!$C$18+Assumptions!$C$20,Assumptions!$C$17+O168*Assumptions!$C$18))</f>
        <v>45.7</v>
      </c>
      <c r="T168" s="3">
        <f>R168+S168</f>
        <v>12509.228000000001</v>
      </c>
      <c r="U168" s="7">
        <f>K168-T168</f>
        <v>945.71699999999873</v>
      </c>
      <c r="V168" s="7">
        <f>IF(U168&gt;0,U168,0)</f>
        <v>945.71699999999873</v>
      </c>
      <c r="W168" s="5">
        <f>IF(U168&gt;0,U168/H168,0)</f>
        <v>6.6773305279211381E-2</v>
      </c>
      <c r="X168" s="7">
        <f>IF(U168&lt;0,-U168,0)</f>
        <v>0</v>
      </c>
      <c r="Y168" s="5">
        <f>IF(U168&lt;0,-U168/H168,0)</f>
        <v>0</v>
      </c>
      <c r="Z168" s="2" t="str">
        <f>IF(U168&gt;=0,"Profitable",IF(N168="Cancelled","Order Cancelled",IF(N168="Returned","Order Returned",IF(AND(I168&gt;=0.15,U168&lt;0),"High Discount",IF(S168&gt;H168,"Delivery Cost Exceeded Order Value","Low Order Value / Thin Margin")))))</f>
        <v>Profitable</v>
      </c>
    </row>
    <row r="169" spans="1:26" x14ac:dyDescent="0.3">
      <c r="A169" s="2" t="s">
        <v>406</v>
      </c>
      <c r="B169" s="6">
        <v>46147.470138888901</v>
      </c>
      <c r="C169" s="2" t="s">
        <v>84</v>
      </c>
      <c r="D169" s="2" t="s">
        <v>116</v>
      </c>
      <c r="E169" s="2" t="s">
        <v>3</v>
      </c>
      <c r="F169" s="2" t="s">
        <v>8</v>
      </c>
      <c r="G169" s="2">
        <v>3</v>
      </c>
      <c r="H169" s="3">
        <v>2774.83</v>
      </c>
      <c r="I169" s="4">
        <v>0.2</v>
      </c>
      <c r="J169" s="3">
        <v>0</v>
      </c>
      <c r="K169" s="7">
        <f t="shared" si="2"/>
        <v>2219.864</v>
      </c>
      <c r="L169" s="2" t="s">
        <v>19</v>
      </c>
      <c r="M169" s="2" t="s">
        <v>143</v>
      </c>
      <c r="N169" s="2" t="s">
        <v>13</v>
      </c>
      <c r="O169" s="2">
        <v>77</v>
      </c>
      <c r="P169" s="2">
        <v>3</v>
      </c>
      <c r="Q169" s="2" t="str">
        <f>TEXT(tblOrders[[#This Row],[Order Date]],"mmm-yyyy")</f>
        <v>May-2026</v>
      </c>
      <c r="R169" s="3">
        <f>IF(N169="Cancelled",0,H169*INDEX(Assumptions!$C$7:$C$12,MATCH(F169,Assumptions!$B$7:$B$12,0)))</f>
        <v>1526.1565000000001</v>
      </c>
      <c r="S169" s="3">
        <f>IF(N169="Cancelled",Assumptions!$C$19,IF(N169="Returned",Assumptions!$C$17+O169*Assumptions!$C$18+Assumptions!$C$20,Assumptions!$C$17+O169*Assumptions!$C$18))</f>
        <v>48.099999999999994</v>
      </c>
      <c r="T169" s="3">
        <f>R169+S169</f>
        <v>1574.2565</v>
      </c>
      <c r="U169" s="7">
        <f>K169-T169</f>
        <v>645.60750000000007</v>
      </c>
      <c r="V169" s="7">
        <f>IF(U169&gt;0,U169,0)</f>
        <v>645.60750000000007</v>
      </c>
      <c r="W169" s="5">
        <f>IF(U169&gt;0,U169/H169,0)</f>
        <v>0.23266560473974984</v>
      </c>
      <c r="X169" s="7">
        <f>IF(U169&lt;0,-U169,0)</f>
        <v>0</v>
      </c>
      <c r="Y169" s="5">
        <f>IF(U169&lt;0,-U169/H169,0)</f>
        <v>0</v>
      </c>
      <c r="Z169" s="2" t="str">
        <f>IF(U169&gt;=0,"Profitable",IF(N169="Cancelled","Order Cancelled",IF(N169="Returned","Order Returned",IF(AND(I169&gt;=0.15,U169&lt;0),"High Discount",IF(S169&gt;H169,"Delivery Cost Exceeded Order Value","Low Order Value / Thin Margin")))))</f>
        <v>Profitable</v>
      </c>
    </row>
    <row r="170" spans="1:26" x14ac:dyDescent="0.3">
      <c r="A170" s="2" t="s">
        <v>407</v>
      </c>
      <c r="B170" s="6">
        <v>46151.684722222199</v>
      </c>
      <c r="C170" s="2" t="s">
        <v>308</v>
      </c>
      <c r="D170" s="2" t="s">
        <v>97</v>
      </c>
      <c r="E170" s="2" t="s">
        <v>5</v>
      </c>
      <c r="F170" s="2" t="s">
        <v>11</v>
      </c>
      <c r="G170" s="2">
        <v>5</v>
      </c>
      <c r="H170" s="3">
        <v>1002.71</v>
      </c>
      <c r="I170" s="4">
        <v>0</v>
      </c>
      <c r="J170" s="3">
        <v>0</v>
      </c>
      <c r="K170" s="7">
        <f t="shared" si="2"/>
        <v>1002.71</v>
      </c>
      <c r="L170" s="2" t="s">
        <v>14</v>
      </c>
      <c r="M170" s="2" t="s">
        <v>110</v>
      </c>
      <c r="N170" s="2" t="s">
        <v>13</v>
      </c>
      <c r="O170" s="2">
        <v>65</v>
      </c>
      <c r="P170" s="2">
        <v>5</v>
      </c>
      <c r="Q170" s="2" t="str">
        <f>TEXT(tblOrders[[#This Row],[Order Date]],"mmm-yyyy")</f>
        <v>May-2026</v>
      </c>
      <c r="R170" s="3">
        <f>IF(N170="Cancelled",0,H170*INDEX(Assumptions!$C$7:$C$12,MATCH(F170,Assumptions!$B$7:$B$12,0)))</f>
        <v>651.76150000000007</v>
      </c>
      <c r="S170" s="3">
        <f>IF(N170="Cancelled",Assumptions!$C$19,IF(N170="Returned",Assumptions!$C$17+O170*Assumptions!$C$18+Assumptions!$C$20,Assumptions!$C$17+O170*Assumptions!$C$18))</f>
        <v>44.5</v>
      </c>
      <c r="T170" s="3">
        <f>R170+S170</f>
        <v>696.26150000000007</v>
      </c>
      <c r="U170" s="7">
        <f>K170-T170</f>
        <v>306.44849999999997</v>
      </c>
      <c r="V170" s="7">
        <f>IF(U170&gt;0,U170,0)</f>
        <v>306.44849999999997</v>
      </c>
      <c r="W170" s="5">
        <f>IF(U170&gt;0,U170/H170,0)</f>
        <v>0.30562026907081802</v>
      </c>
      <c r="X170" s="7">
        <f>IF(U170&lt;0,-U170,0)</f>
        <v>0</v>
      </c>
      <c r="Y170" s="5">
        <f>IF(U170&lt;0,-U170/H170,0)</f>
        <v>0</v>
      </c>
      <c r="Z170" s="2" t="str">
        <f>IF(U170&gt;=0,"Profitable",IF(N170="Cancelled","Order Cancelled",IF(N170="Returned","Order Returned",IF(AND(I170&gt;=0.15,U170&lt;0),"High Discount",IF(S170&gt;H170,"Delivery Cost Exceeded Order Value","Low Order Value / Thin Margin")))))</f>
        <v>Profitable</v>
      </c>
    </row>
    <row r="171" spans="1:26" x14ac:dyDescent="0.3">
      <c r="A171" s="2" t="s">
        <v>408</v>
      </c>
      <c r="B171" s="6">
        <v>46151.688194444498</v>
      </c>
      <c r="C171" s="2" t="s">
        <v>409</v>
      </c>
      <c r="D171" s="2" t="s">
        <v>73</v>
      </c>
      <c r="E171" s="2" t="s">
        <v>3</v>
      </c>
      <c r="F171" s="2" t="s">
        <v>8</v>
      </c>
      <c r="G171" s="2">
        <v>4</v>
      </c>
      <c r="H171" s="3">
        <v>3017.78</v>
      </c>
      <c r="I171" s="4">
        <v>0.1</v>
      </c>
      <c r="J171" s="3">
        <v>0</v>
      </c>
      <c r="K171" s="7">
        <f t="shared" si="2"/>
        <v>2716.0020000000004</v>
      </c>
      <c r="L171" s="2" t="s">
        <v>18</v>
      </c>
      <c r="M171" s="2" t="s">
        <v>200</v>
      </c>
      <c r="N171" s="2" t="s">
        <v>13</v>
      </c>
      <c r="O171" s="2">
        <v>47</v>
      </c>
      <c r="P171" s="2">
        <v>5</v>
      </c>
      <c r="Q171" s="2" t="str">
        <f>TEXT(tblOrders[[#This Row],[Order Date]],"mmm-yyyy")</f>
        <v>May-2026</v>
      </c>
      <c r="R171" s="3">
        <f>IF(N171="Cancelled",0,H171*INDEX(Assumptions!$C$7:$C$12,MATCH(F171,Assumptions!$B$7:$B$12,0)))</f>
        <v>1659.7790000000002</v>
      </c>
      <c r="S171" s="3">
        <f>IF(N171="Cancelled",Assumptions!$C$19,IF(N171="Returned",Assumptions!$C$17+O171*Assumptions!$C$18+Assumptions!$C$20,Assumptions!$C$17+O171*Assumptions!$C$18))</f>
        <v>39.1</v>
      </c>
      <c r="T171" s="3">
        <f>R171+S171</f>
        <v>1698.8790000000001</v>
      </c>
      <c r="U171" s="7">
        <f>K171-T171</f>
        <v>1017.1230000000003</v>
      </c>
      <c r="V171" s="7">
        <f>IF(U171&gt;0,U171,0)</f>
        <v>1017.1230000000003</v>
      </c>
      <c r="W171" s="5">
        <f>IF(U171&gt;0,U171/H171,0)</f>
        <v>0.3370434557853787</v>
      </c>
      <c r="X171" s="7">
        <f>IF(U171&lt;0,-U171,0)</f>
        <v>0</v>
      </c>
      <c r="Y171" s="5">
        <f>IF(U171&lt;0,-U171/H171,0)</f>
        <v>0</v>
      </c>
      <c r="Z171" s="2" t="str">
        <f>IF(U171&gt;=0,"Profitable",IF(N171="Cancelled","Order Cancelled",IF(N171="Returned","Order Returned",IF(AND(I171&gt;=0.15,U171&lt;0),"High Discount",IF(S171&gt;H171,"Delivery Cost Exceeded Order Value","Low Order Value / Thin Margin")))))</f>
        <v>Profitable</v>
      </c>
    </row>
    <row r="172" spans="1:26" x14ac:dyDescent="0.3">
      <c r="A172" s="2" t="s">
        <v>410</v>
      </c>
      <c r="B172" s="6">
        <v>46151.756944444503</v>
      </c>
      <c r="C172" s="2" t="s">
        <v>411</v>
      </c>
      <c r="D172" s="2" t="s">
        <v>73</v>
      </c>
      <c r="E172" s="2" t="s">
        <v>3</v>
      </c>
      <c r="F172" s="2" t="s">
        <v>9</v>
      </c>
      <c r="G172" s="2">
        <v>2</v>
      </c>
      <c r="H172" s="3">
        <v>626.99</v>
      </c>
      <c r="I172" s="4">
        <v>0.15</v>
      </c>
      <c r="J172" s="3">
        <v>49</v>
      </c>
      <c r="K172" s="7">
        <f t="shared" si="2"/>
        <v>581.94150000000002</v>
      </c>
      <c r="L172" s="2" t="s">
        <v>14</v>
      </c>
      <c r="M172" s="2" t="s">
        <v>113</v>
      </c>
      <c r="N172" s="2" t="s">
        <v>13</v>
      </c>
      <c r="O172" s="2">
        <v>21</v>
      </c>
      <c r="P172" s="2">
        <v>3</v>
      </c>
      <c r="Q172" s="2" t="str">
        <f>TEXT(tblOrders[[#This Row],[Order Date]],"mmm-yyyy")</f>
        <v>May-2026</v>
      </c>
      <c r="R172" s="3">
        <f>IF(N172="Cancelled",0,H172*INDEX(Assumptions!$C$7:$C$12,MATCH(F172,Assumptions!$B$7:$B$12,0)))</f>
        <v>282.14550000000003</v>
      </c>
      <c r="S172" s="3">
        <f>IF(N172="Cancelled",Assumptions!$C$19,IF(N172="Returned",Assumptions!$C$17+O172*Assumptions!$C$18+Assumptions!$C$20,Assumptions!$C$17+O172*Assumptions!$C$18))</f>
        <v>31.3</v>
      </c>
      <c r="T172" s="3">
        <f>R172+S172</f>
        <v>313.44550000000004</v>
      </c>
      <c r="U172" s="7">
        <f>K172-T172</f>
        <v>268.49599999999998</v>
      </c>
      <c r="V172" s="7">
        <f>IF(U172&gt;0,U172,0)</f>
        <v>268.49599999999998</v>
      </c>
      <c r="W172" s="5">
        <f>IF(U172&gt;0,U172/H172,0)</f>
        <v>0.42823011531284388</v>
      </c>
      <c r="X172" s="7">
        <f>IF(U172&lt;0,-U172,0)</f>
        <v>0</v>
      </c>
      <c r="Y172" s="5">
        <f>IF(U172&lt;0,-U172/H172,0)</f>
        <v>0</v>
      </c>
      <c r="Z172" s="2" t="str">
        <f>IF(U172&gt;=0,"Profitable",IF(N172="Cancelled","Order Cancelled",IF(N172="Returned","Order Returned",IF(AND(I172&gt;=0.15,U172&lt;0),"High Discount",IF(S172&gt;H172,"Delivery Cost Exceeded Order Value","Low Order Value / Thin Margin")))))</f>
        <v>Profitable</v>
      </c>
    </row>
    <row r="173" spans="1:26" x14ac:dyDescent="0.3">
      <c r="A173" s="2" t="s">
        <v>412</v>
      </c>
      <c r="B173" s="6">
        <v>46152.527777777803</v>
      </c>
      <c r="C173" s="2" t="s">
        <v>170</v>
      </c>
      <c r="D173" s="2" t="s">
        <v>87</v>
      </c>
      <c r="E173" s="2" t="s">
        <v>5</v>
      </c>
      <c r="F173" s="2" t="s">
        <v>9</v>
      </c>
      <c r="G173" s="2">
        <v>4</v>
      </c>
      <c r="H173" s="3">
        <v>661.45</v>
      </c>
      <c r="I173" s="4">
        <v>0</v>
      </c>
      <c r="J173" s="3">
        <v>39</v>
      </c>
      <c r="K173" s="7">
        <f t="shared" si="2"/>
        <v>700.45</v>
      </c>
      <c r="L173" s="2" t="s">
        <v>18</v>
      </c>
      <c r="M173" s="2" t="s">
        <v>98</v>
      </c>
      <c r="N173" s="2" t="s">
        <v>13</v>
      </c>
      <c r="O173" s="2">
        <v>28</v>
      </c>
      <c r="P173" s="2">
        <v>5</v>
      </c>
      <c r="Q173" s="2" t="str">
        <f>TEXT(tblOrders[[#This Row],[Order Date]],"mmm-yyyy")</f>
        <v>May-2026</v>
      </c>
      <c r="R173" s="3">
        <f>IF(N173="Cancelled",0,H173*INDEX(Assumptions!$C$7:$C$12,MATCH(F173,Assumptions!$B$7:$B$12,0)))</f>
        <v>297.65250000000003</v>
      </c>
      <c r="S173" s="3">
        <f>IF(N173="Cancelled",Assumptions!$C$19,IF(N173="Returned",Assumptions!$C$17+O173*Assumptions!$C$18+Assumptions!$C$20,Assumptions!$C$17+O173*Assumptions!$C$18))</f>
        <v>33.4</v>
      </c>
      <c r="T173" s="3">
        <f>R173+S173</f>
        <v>331.05250000000001</v>
      </c>
      <c r="U173" s="7">
        <f>K173-T173</f>
        <v>369.39750000000004</v>
      </c>
      <c r="V173" s="7">
        <f>IF(U173&gt;0,U173,0)</f>
        <v>369.39750000000004</v>
      </c>
      <c r="W173" s="5">
        <f>IF(U173&gt;0,U173/H173,0)</f>
        <v>0.55846624839368053</v>
      </c>
      <c r="X173" s="7">
        <f>IF(U173&lt;0,-U173,0)</f>
        <v>0</v>
      </c>
      <c r="Y173" s="5">
        <f>IF(U173&lt;0,-U173/H173,0)</f>
        <v>0</v>
      </c>
      <c r="Z173" s="2" t="str">
        <f>IF(U173&gt;=0,"Profitable",IF(N173="Cancelled","Order Cancelled",IF(N173="Returned","Order Returned",IF(AND(I173&gt;=0.15,U173&lt;0),"High Discount",IF(S173&gt;H173,"Delivery Cost Exceeded Order Value","Low Order Value / Thin Margin")))))</f>
        <v>Profitable</v>
      </c>
    </row>
    <row r="174" spans="1:26" x14ac:dyDescent="0.3">
      <c r="A174" s="2" t="s">
        <v>413</v>
      </c>
      <c r="B174" s="6">
        <v>46152.529166666704</v>
      </c>
      <c r="C174" s="2" t="s">
        <v>414</v>
      </c>
      <c r="D174" s="2" t="s">
        <v>73</v>
      </c>
      <c r="E174" s="2" t="s">
        <v>3</v>
      </c>
      <c r="F174" s="2" t="s">
        <v>8</v>
      </c>
      <c r="G174" s="2">
        <v>3</v>
      </c>
      <c r="H174" s="3">
        <v>2351.33</v>
      </c>
      <c r="I174" s="4">
        <v>0</v>
      </c>
      <c r="J174" s="3">
        <v>0</v>
      </c>
      <c r="K174" s="7">
        <f t="shared" si="2"/>
        <v>2351.33</v>
      </c>
      <c r="L174" s="2" t="s">
        <v>19</v>
      </c>
      <c r="M174" s="2" t="s">
        <v>137</v>
      </c>
      <c r="N174" s="2" t="s">
        <v>13</v>
      </c>
      <c r="O174" s="2">
        <v>66</v>
      </c>
      <c r="P174" s="2">
        <v>5</v>
      </c>
      <c r="Q174" s="2" t="str">
        <f>TEXT(tblOrders[[#This Row],[Order Date]],"mmm-yyyy")</f>
        <v>May-2026</v>
      </c>
      <c r="R174" s="3">
        <f>IF(N174="Cancelled",0,H174*INDEX(Assumptions!$C$7:$C$12,MATCH(F174,Assumptions!$B$7:$B$12,0)))</f>
        <v>1293.2315000000001</v>
      </c>
      <c r="S174" s="3">
        <f>IF(N174="Cancelled",Assumptions!$C$19,IF(N174="Returned",Assumptions!$C$17+O174*Assumptions!$C$18+Assumptions!$C$20,Assumptions!$C$17+O174*Assumptions!$C$18))</f>
        <v>44.8</v>
      </c>
      <c r="T174" s="3">
        <f>R174+S174</f>
        <v>1338.0315000000001</v>
      </c>
      <c r="U174" s="7">
        <f>K174-T174</f>
        <v>1013.2984999999999</v>
      </c>
      <c r="V174" s="7">
        <f>IF(U174&gt;0,U174,0)</f>
        <v>1013.2984999999999</v>
      </c>
      <c r="W174" s="5">
        <f>IF(U174&gt;0,U174/H174,0)</f>
        <v>0.43094695342635864</v>
      </c>
      <c r="X174" s="7">
        <f>IF(U174&lt;0,-U174,0)</f>
        <v>0</v>
      </c>
      <c r="Y174" s="5">
        <f>IF(U174&lt;0,-U174/H174,0)</f>
        <v>0</v>
      </c>
      <c r="Z174" s="2" t="str">
        <f>IF(U174&gt;=0,"Profitable",IF(N174="Cancelled","Order Cancelled",IF(N174="Returned","Order Returned",IF(AND(I174&gt;=0.15,U174&lt;0),"High Discount",IF(S174&gt;H174,"Delivery Cost Exceeded Order Value","Low Order Value / Thin Margin")))))</f>
        <v>Profitable</v>
      </c>
    </row>
    <row r="175" spans="1:26" x14ac:dyDescent="0.3">
      <c r="A175" s="2" t="s">
        <v>415</v>
      </c>
      <c r="B175" s="6">
        <v>46158.608333333301</v>
      </c>
      <c r="C175" s="2" t="s">
        <v>416</v>
      </c>
      <c r="D175" s="2" t="s">
        <v>77</v>
      </c>
      <c r="E175" s="2" t="s">
        <v>3</v>
      </c>
      <c r="F175" s="2" t="s">
        <v>9</v>
      </c>
      <c r="G175" s="2">
        <v>2</v>
      </c>
      <c r="H175" s="3">
        <v>163.16999999999999</v>
      </c>
      <c r="I175" s="4">
        <v>0.2</v>
      </c>
      <c r="J175" s="3">
        <v>59</v>
      </c>
      <c r="K175" s="7">
        <f t="shared" si="2"/>
        <v>189.536</v>
      </c>
      <c r="L175" s="2" t="s">
        <v>16</v>
      </c>
      <c r="M175" s="2" t="s">
        <v>94</v>
      </c>
      <c r="N175" s="2" t="s">
        <v>13</v>
      </c>
      <c r="O175" s="2">
        <v>92</v>
      </c>
      <c r="P175" s="2">
        <v>3</v>
      </c>
      <c r="Q175" s="2" t="str">
        <f>TEXT(tblOrders[[#This Row],[Order Date]],"mmm-yyyy")</f>
        <v>May-2026</v>
      </c>
      <c r="R175" s="3">
        <f>IF(N175="Cancelled",0,H175*INDEX(Assumptions!$C$7:$C$12,MATCH(F175,Assumptions!$B$7:$B$12,0)))</f>
        <v>73.42649999999999</v>
      </c>
      <c r="S175" s="3">
        <f>IF(N175="Cancelled",Assumptions!$C$19,IF(N175="Returned",Assumptions!$C$17+O175*Assumptions!$C$18+Assumptions!$C$20,Assumptions!$C$17+O175*Assumptions!$C$18))</f>
        <v>52.599999999999994</v>
      </c>
      <c r="T175" s="3">
        <f>R175+S175</f>
        <v>126.02649999999998</v>
      </c>
      <c r="U175" s="7">
        <f>K175-T175</f>
        <v>63.509500000000017</v>
      </c>
      <c r="V175" s="7">
        <f>IF(U175&gt;0,U175,0)</f>
        <v>63.509500000000017</v>
      </c>
      <c r="W175" s="5">
        <f>IF(U175&gt;0,U175/H175,0)</f>
        <v>0.38922289636575363</v>
      </c>
      <c r="X175" s="7">
        <f>IF(U175&lt;0,-U175,0)</f>
        <v>0</v>
      </c>
      <c r="Y175" s="5">
        <f>IF(U175&lt;0,-U175/H175,0)</f>
        <v>0</v>
      </c>
      <c r="Z175" s="2" t="str">
        <f>IF(U175&gt;=0,"Profitable",IF(N175="Cancelled","Order Cancelled",IF(N175="Returned","Order Returned",IF(AND(I175&gt;=0.15,U175&lt;0),"High Discount",IF(S175&gt;H175,"Delivery Cost Exceeded Order Value","Low Order Value / Thin Margin")))))</f>
        <v>Profitable</v>
      </c>
    </row>
    <row r="176" spans="1:26" x14ac:dyDescent="0.3">
      <c r="A176" s="2" t="s">
        <v>417</v>
      </c>
      <c r="B176" s="6">
        <v>46160.433333333298</v>
      </c>
      <c r="C176" s="2" t="s">
        <v>418</v>
      </c>
      <c r="D176" s="2" t="s">
        <v>116</v>
      </c>
      <c r="E176" s="2" t="s">
        <v>3</v>
      </c>
      <c r="F176" s="2" t="s">
        <v>8</v>
      </c>
      <c r="G176" s="2">
        <v>6</v>
      </c>
      <c r="H176" s="3">
        <v>2876.99</v>
      </c>
      <c r="I176" s="4">
        <v>0.1</v>
      </c>
      <c r="J176" s="3">
        <v>0</v>
      </c>
      <c r="K176" s="7">
        <f t="shared" si="2"/>
        <v>2589.2909999999997</v>
      </c>
      <c r="L176" s="2" t="s">
        <v>19</v>
      </c>
      <c r="M176" s="2" t="s">
        <v>110</v>
      </c>
      <c r="N176" s="2" t="s">
        <v>13</v>
      </c>
      <c r="O176" s="2">
        <v>37</v>
      </c>
      <c r="P176" s="2">
        <v>4</v>
      </c>
      <c r="Q176" s="2" t="str">
        <f>TEXT(tblOrders[[#This Row],[Order Date]],"mmm-yyyy")</f>
        <v>May-2026</v>
      </c>
      <c r="R176" s="3">
        <f>IF(N176="Cancelled",0,H176*INDEX(Assumptions!$C$7:$C$12,MATCH(F176,Assumptions!$B$7:$B$12,0)))</f>
        <v>1582.3444999999999</v>
      </c>
      <c r="S176" s="3">
        <f>IF(N176="Cancelled",Assumptions!$C$19,IF(N176="Returned",Assumptions!$C$17+O176*Assumptions!$C$18+Assumptions!$C$20,Assumptions!$C$17+O176*Assumptions!$C$18))</f>
        <v>36.1</v>
      </c>
      <c r="T176" s="3">
        <f>R176+S176</f>
        <v>1618.4444999999998</v>
      </c>
      <c r="U176" s="7">
        <f>K176-T176</f>
        <v>970.84649999999988</v>
      </c>
      <c r="V176" s="7">
        <f>IF(U176&gt;0,U176,0)</f>
        <v>970.84649999999988</v>
      </c>
      <c r="W176" s="5">
        <f>IF(U176&gt;0,U176/H176,0)</f>
        <v>0.33745216354592822</v>
      </c>
      <c r="X176" s="7">
        <f>IF(U176&lt;0,-U176,0)</f>
        <v>0</v>
      </c>
      <c r="Y176" s="5">
        <f>IF(U176&lt;0,-U176/H176,0)</f>
        <v>0</v>
      </c>
      <c r="Z176" s="2" t="str">
        <f>IF(U176&gt;=0,"Profitable",IF(N176="Cancelled","Order Cancelled",IF(N176="Returned","Order Returned",IF(AND(I176&gt;=0.15,U176&lt;0),"High Discount",IF(S176&gt;H176,"Delivery Cost Exceeded Order Value","Low Order Value / Thin Margin")))))</f>
        <v>Profitable</v>
      </c>
    </row>
    <row r="177" spans="1:26" x14ac:dyDescent="0.3">
      <c r="A177" s="2" t="s">
        <v>419</v>
      </c>
      <c r="B177" s="6">
        <v>46161.491666666698</v>
      </c>
      <c r="C177" s="2" t="s">
        <v>252</v>
      </c>
      <c r="D177" s="2" t="s">
        <v>69</v>
      </c>
      <c r="E177" s="2" t="s">
        <v>3</v>
      </c>
      <c r="F177" s="2" t="s">
        <v>10</v>
      </c>
      <c r="G177" s="2">
        <v>5</v>
      </c>
      <c r="H177" s="3">
        <v>1490.75</v>
      </c>
      <c r="I177" s="4">
        <v>0</v>
      </c>
      <c r="J177" s="3">
        <v>0</v>
      </c>
      <c r="K177" s="7">
        <f t="shared" si="2"/>
        <v>1490.75</v>
      </c>
      <c r="L177" s="2" t="s">
        <v>18</v>
      </c>
      <c r="M177" s="2" t="s">
        <v>70</v>
      </c>
      <c r="N177" s="2" t="s">
        <v>13</v>
      </c>
      <c r="O177" s="2">
        <v>59</v>
      </c>
      <c r="P177" s="2">
        <v>3</v>
      </c>
      <c r="Q177" s="2" t="str">
        <f>TEXT(tblOrders[[#This Row],[Order Date]],"mmm-yyyy")</f>
        <v>May-2026</v>
      </c>
      <c r="R177" s="3">
        <f>IF(N177="Cancelled",0,H177*INDEX(Assumptions!$C$7:$C$12,MATCH(F177,Assumptions!$B$7:$B$12,0)))</f>
        <v>1043.5249999999999</v>
      </c>
      <c r="S177" s="3">
        <f>IF(N177="Cancelled",Assumptions!$C$19,IF(N177="Returned",Assumptions!$C$17+O177*Assumptions!$C$18+Assumptions!$C$20,Assumptions!$C$17+O177*Assumptions!$C$18))</f>
        <v>42.7</v>
      </c>
      <c r="T177" s="3">
        <f>R177+S177</f>
        <v>1086.2249999999999</v>
      </c>
      <c r="U177" s="7">
        <f>K177-T177</f>
        <v>404.52500000000009</v>
      </c>
      <c r="V177" s="7">
        <f>IF(U177&gt;0,U177,0)</f>
        <v>404.52500000000009</v>
      </c>
      <c r="W177" s="5">
        <f>IF(U177&gt;0,U177/H177,0)</f>
        <v>0.27135669964782833</v>
      </c>
      <c r="X177" s="7">
        <f>IF(U177&lt;0,-U177,0)</f>
        <v>0</v>
      </c>
      <c r="Y177" s="5">
        <f>IF(U177&lt;0,-U177/H177,0)</f>
        <v>0</v>
      </c>
      <c r="Z177" s="2" t="str">
        <f>IF(U177&gt;=0,"Profitable",IF(N177="Cancelled","Order Cancelled",IF(N177="Returned","Order Returned",IF(AND(I177&gt;=0.15,U177&lt;0),"High Discount",IF(S177&gt;H177,"Delivery Cost Exceeded Order Value","Low Order Value / Thin Margin")))))</f>
        <v>Profitable</v>
      </c>
    </row>
    <row r="178" spans="1:26" x14ac:dyDescent="0.3">
      <c r="A178" s="2" t="s">
        <v>420</v>
      </c>
      <c r="B178" s="6">
        <v>46162.368055555598</v>
      </c>
      <c r="C178" s="2" t="s">
        <v>265</v>
      </c>
      <c r="D178" s="2" t="s">
        <v>116</v>
      </c>
      <c r="E178" s="2" t="s">
        <v>5</v>
      </c>
      <c r="F178" s="2" t="s">
        <v>11</v>
      </c>
      <c r="G178" s="2">
        <v>5</v>
      </c>
      <c r="H178" s="3">
        <v>3644.16</v>
      </c>
      <c r="I178" s="4">
        <v>0</v>
      </c>
      <c r="J178" s="3">
        <v>0</v>
      </c>
      <c r="K178" s="7">
        <f t="shared" si="2"/>
        <v>3644.16</v>
      </c>
      <c r="L178" s="2" t="s">
        <v>14</v>
      </c>
      <c r="M178" s="2" t="s">
        <v>143</v>
      </c>
      <c r="N178" s="2" t="s">
        <v>13</v>
      </c>
      <c r="O178" s="2">
        <v>63</v>
      </c>
      <c r="P178" s="2">
        <v>3</v>
      </c>
      <c r="Q178" s="2" t="str">
        <f>TEXT(tblOrders[[#This Row],[Order Date]],"mmm-yyyy")</f>
        <v>May-2026</v>
      </c>
      <c r="R178" s="3">
        <f>IF(N178="Cancelled",0,H178*INDEX(Assumptions!$C$7:$C$12,MATCH(F178,Assumptions!$B$7:$B$12,0)))</f>
        <v>2368.7040000000002</v>
      </c>
      <c r="S178" s="3">
        <f>IF(N178="Cancelled",Assumptions!$C$19,IF(N178="Returned",Assumptions!$C$17+O178*Assumptions!$C$18+Assumptions!$C$20,Assumptions!$C$17+O178*Assumptions!$C$18))</f>
        <v>43.9</v>
      </c>
      <c r="T178" s="3">
        <f>R178+S178</f>
        <v>2412.6040000000003</v>
      </c>
      <c r="U178" s="7">
        <f>K178-T178</f>
        <v>1231.5559999999996</v>
      </c>
      <c r="V178" s="7">
        <f>IF(U178&gt;0,U178,0)</f>
        <v>1231.5559999999996</v>
      </c>
      <c r="W178" s="5">
        <f>IF(U178&gt;0,U178/H178,0)</f>
        <v>0.33795332806462935</v>
      </c>
      <c r="X178" s="7">
        <f>IF(U178&lt;0,-U178,0)</f>
        <v>0</v>
      </c>
      <c r="Y178" s="5">
        <f>IF(U178&lt;0,-U178/H178,0)</f>
        <v>0</v>
      </c>
      <c r="Z178" s="2" t="str">
        <f>IF(U178&gt;=0,"Profitable",IF(N178="Cancelled","Order Cancelled",IF(N178="Returned","Order Returned",IF(AND(I178&gt;=0.15,U178&lt;0),"High Discount",IF(S178&gt;H178,"Delivery Cost Exceeded Order Value","Low Order Value / Thin Margin")))))</f>
        <v>Profitable</v>
      </c>
    </row>
    <row r="179" spans="1:26" x14ac:dyDescent="0.3">
      <c r="A179" s="2" t="s">
        <v>421</v>
      </c>
      <c r="B179" s="6">
        <v>46162.636111111096</v>
      </c>
      <c r="C179" s="2" t="s">
        <v>422</v>
      </c>
      <c r="D179" s="2" t="s">
        <v>116</v>
      </c>
      <c r="E179" s="2" t="s">
        <v>3</v>
      </c>
      <c r="F179" s="2" t="s">
        <v>4</v>
      </c>
      <c r="G179" s="2">
        <v>3</v>
      </c>
      <c r="H179" s="3">
        <v>524.82000000000005</v>
      </c>
      <c r="I179" s="4">
        <v>0.2</v>
      </c>
      <c r="J179" s="3">
        <v>29</v>
      </c>
      <c r="K179" s="7">
        <f t="shared" si="2"/>
        <v>448.85600000000005</v>
      </c>
      <c r="L179" s="2" t="s">
        <v>18</v>
      </c>
      <c r="M179" s="2" t="s">
        <v>175</v>
      </c>
      <c r="N179" s="2" t="s">
        <v>13</v>
      </c>
      <c r="O179" s="2">
        <v>65</v>
      </c>
      <c r="P179" s="2">
        <v>4</v>
      </c>
      <c r="Q179" s="2" t="str">
        <f>TEXT(tblOrders[[#This Row],[Order Date]],"mmm-yyyy")</f>
        <v>May-2026</v>
      </c>
      <c r="R179" s="3">
        <f>IF(N179="Cancelled",0,H179*INDEX(Assumptions!$C$7:$C$12,MATCH(F179,Assumptions!$B$7:$B$12,0)))</f>
        <v>409.35960000000006</v>
      </c>
      <c r="S179" s="3">
        <f>IF(N179="Cancelled",Assumptions!$C$19,IF(N179="Returned",Assumptions!$C$17+O179*Assumptions!$C$18+Assumptions!$C$20,Assumptions!$C$17+O179*Assumptions!$C$18))</f>
        <v>44.5</v>
      </c>
      <c r="T179" s="3">
        <f>R179+S179</f>
        <v>453.85960000000006</v>
      </c>
      <c r="U179" s="7">
        <f>K179-T179</f>
        <v>-5.0036000000000058</v>
      </c>
      <c r="V179" s="7">
        <f>IF(U179&gt;0,U179,0)</f>
        <v>0</v>
      </c>
      <c r="W179" s="5">
        <f>IF(U179&gt;0,U179/H179,0)</f>
        <v>0</v>
      </c>
      <c r="X179" s="7">
        <f>IF(U179&lt;0,-U179,0)</f>
        <v>5.0036000000000058</v>
      </c>
      <c r="Y179" s="5">
        <f>IF(U179&lt;0,-U179/H179,0)</f>
        <v>9.533935444533374E-3</v>
      </c>
      <c r="Z179" s="2" t="str">
        <f>IF(U179&gt;=0,"Profitable",IF(N179="Cancelled","Order Cancelled",IF(N179="Returned","Order Returned",IF(AND(I179&gt;=0.15,U179&lt;0),"High Discount",IF(S179&gt;H179,"Delivery Cost Exceeded Order Value","Low Order Value / Thin Margin")))))</f>
        <v>High Discount</v>
      </c>
    </row>
    <row r="180" spans="1:26" x14ac:dyDescent="0.3">
      <c r="A180" s="2" t="s">
        <v>423</v>
      </c>
      <c r="B180" s="6">
        <v>46163.713888888902</v>
      </c>
      <c r="C180" s="2" t="s">
        <v>424</v>
      </c>
      <c r="D180" s="2" t="s">
        <v>77</v>
      </c>
      <c r="E180" s="2" t="s">
        <v>3</v>
      </c>
      <c r="F180" s="2" t="s">
        <v>8</v>
      </c>
      <c r="G180" s="2">
        <v>3</v>
      </c>
      <c r="H180" s="3">
        <v>3608.37</v>
      </c>
      <c r="I180" s="4">
        <v>0.2</v>
      </c>
      <c r="J180" s="3">
        <v>0</v>
      </c>
      <c r="K180" s="7">
        <f t="shared" si="2"/>
        <v>2886.6959999999999</v>
      </c>
      <c r="L180" s="2" t="s">
        <v>14</v>
      </c>
      <c r="M180" s="2" t="s">
        <v>110</v>
      </c>
      <c r="N180" s="2" t="s">
        <v>13</v>
      </c>
      <c r="O180" s="2">
        <v>76</v>
      </c>
      <c r="P180" s="2">
        <v>3</v>
      </c>
      <c r="Q180" s="2" t="str">
        <f>TEXT(tblOrders[[#This Row],[Order Date]],"mmm-yyyy")</f>
        <v>May-2026</v>
      </c>
      <c r="R180" s="3">
        <f>IF(N180="Cancelled",0,H180*INDEX(Assumptions!$C$7:$C$12,MATCH(F180,Assumptions!$B$7:$B$12,0)))</f>
        <v>1984.6035000000002</v>
      </c>
      <c r="S180" s="3">
        <f>IF(N180="Cancelled",Assumptions!$C$19,IF(N180="Returned",Assumptions!$C$17+O180*Assumptions!$C$18+Assumptions!$C$20,Assumptions!$C$17+O180*Assumptions!$C$18))</f>
        <v>47.8</v>
      </c>
      <c r="T180" s="3">
        <f>R180+S180</f>
        <v>2032.4035000000001</v>
      </c>
      <c r="U180" s="7">
        <f>K180-T180</f>
        <v>854.29249999999979</v>
      </c>
      <c r="V180" s="7">
        <f>IF(U180&gt;0,U180,0)</f>
        <v>854.29249999999979</v>
      </c>
      <c r="W180" s="5">
        <f>IF(U180&gt;0,U180/H180,0)</f>
        <v>0.23675302144735708</v>
      </c>
      <c r="X180" s="7">
        <f>IF(U180&lt;0,-U180,0)</f>
        <v>0</v>
      </c>
      <c r="Y180" s="5">
        <f>IF(U180&lt;0,-U180/H180,0)</f>
        <v>0</v>
      </c>
      <c r="Z180" s="2" t="str">
        <f>IF(U180&gt;=0,"Profitable",IF(N180="Cancelled","Order Cancelled",IF(N180="Returned","Order Returned",IF(AND(I180&gt;=0.15,U180&lt;0),"High Discount",IF(S180&gt;H180,"Delivery Cost Exceeded Order Value","Low Order Value / Thin Margin")))))</f>
        <v>Profitable</v>
      </c>
    </row>
    <row r="181" spans="1:26" x14ac:dyDescent="0.3">
      <c r="A181" s="2" t="s">
        <v>425</v>
      </c>
      <c r="B181" s="6">
        <v>46164.431250000001</v>
      </c>
      <c r="C181" s="2" t="s">
        <v>426</v>
      </c>
      <c r="D181" s="2" t="s">
        <v>69</v>
      </c>
      <c r="E181" s="2" t="s">
        <v>5</v>
      </c>
      <c r="F181" s="2" t="s">
        <v>8</v>
      </c>
      <c r="G181" s="2">
        <v>2</v>
      </c>
      <c r="H181" s="3">
        <v>3251.7</v>
      </c>
      <c r="I181" s="4">
        <v>0.15</v>
      </c>
      <c r="J181" s="3">
        <v>0</v>
      </c>
      <c r="K181" s="7">
        <f t="shared" si="2"/>
        <v>2763.9449999999997</v>
      </c>
      <c r="L181" s="2" t="s">
        <v>16</v>
      </c>
      <c r="M181" s="2" t="s">
        <v>132</v>
      </c>
      <c r="N181" s="2" t="s">
        <v>13</v>
      </c>
      <c r="O181" s="2">
        <v>73</v>
      </c>
      <c r="P181" s="2">
        <v>4</v>
      </c>
      <c r="Q181" s="2" t="str">
        <f>TEXT(tblOrders[[#This Row],[Order Date]],"mmm-yyyy")</f>
        <v>May-2026</v>
      </c>
      <c r="R181" s="3">
        <f>IF(N181="Cancelled",0,H181*INDEX(Assumptions!$C$7:$C$12,MATCH(F181,Assumptions!$B$7:$B$12,0)))</f>
        <v>1788.4349999999999</v>
      </c>
      <c r="S181" s="3">
        <f>IF(N181="Cancelled",Assumptions!$C$19,IF(N181="Returned",Assumptions!$C$17+O181*Assumptions!$C$18+Assumptions!$C$20,Assumptions!$C$17+O181*Assumptions!$C$18))</f>
        <v>46.9</v>
      </c>
      <c r="T181" s="3">
        <f>R181+S181</f>
        <v>1835.335</v>
      </c>
      <c r="U181" s="7">
        <f>K181-T181</f>
        <v>928.60999999999967</v>
      </c>
      <c r="V181" s="7">
        <f>IF(U181&gt;0,U181,0)</f>
        <v>928.60999999999967</v>
      </c>
      <c r="W181" s="5">
        <f>IF(U181&gt;0,U181/H181,0)</f>
        <v>0.2855767752252667</v>
      </c>
      <c r="X181" s="7">
        <f>IF(U181&lt;0,-U181,0)</f>
        <v>0</v>
      </c>
      <c r="Y181" s="5">
        <f>IF(U181&lt;0,-U181/H181,0)</f>
        <v>0</v>
      </c>
      <c r="Z181" s="2" t="str">
        <f>IF(U181&gt;=0,"Profitable",IF(N181="Cancelled","Order Cancelled",IF(N181="Returned","Order Returned",IF(AND(I181&gt;=0.15,U181&lt;0),"High Discount",IF(S181&gt;H181,"Delivery Cost Exceeded Order Value","Low Order Value / Thin Margin")))))</f>
        <v>Profitable</v>
      </c>
    </row>
    <row r="182" spans="1:26" x14ac:dyDescent="0.3">
      <c r="A182" s="2" t="s">
        <v>427</v>
      </c>
      <c r="B182" s="6">
        <v>46165.359027777798</v>
      </c>
      <c r="C182" s="2" t="s">
        <v>428</v>
      </c>
      <c r="D182" s="2" t="s">
        <v>69</v>
      </c>
      <c r="E182" s="2" t="s">
        <v>3</v>
      </c>
      <c r="F182" s="2" t="s">
        <v>11</v>
      </c>
      <c r="G182" s="2">
        <v>6</v>
      </c>
      <c r="H182" s="3">
        <v>908.94</v>
      </c>
      <c r="I182" s="4">
        <v>0</v>
      </c>
      <c r="J182" s="3">
        <v>59</v>
      </c>
      <c r="K182" s="7">
        <f t="shared" si="2"/>
        <v>59</v>
      </c>
      <c r="L182" s="2" t="s">
        <v>14</v>
      </c>
      <c r="M182" s="2" t="s">
        <v>146</v>
      </c>
      <c r="N182" s="2" t="s">
        <v>17</v>
      </c>
      <c r="O182" s="2">
        <v>94</v>
      </c>
      <c r="P182" s="2">
        <v>2</v>
      </c>
      <c r="Q182" s="2" t="str">
        <f>TEXT(tblOrders[[#This Row],[Order Date]],"mmm-yyyy")</f>
        <v>May-2026</v>
      </c>
      <c r="R182" s="3">
        <f>IF(N182="Cancelled",0,H182*INDEX(Assumptions!$C$7:$C$12,MATCH(F182,Assumptions!$B$7:$B$12,0)))</f>
        <v>590.81100000000004</v>
      </c>
      <c r="S182" s="3">
        <f>IF(N182="Cancelled",Assumptions!$C$19,IF(N182="Returned",Assumptions!$C$17+O182*Assumptions!$C$18+Assumptions!$C$20,Assumptions!$C$17+O182*Assumptions!$C$18))</f>
        <v>73.2</v>
      </c>
      <c r="T182" s="3">
        <f>R182+S182</f>
        <v>664.01100000000008</v>
      </c>
      <c r="U182" s="7">
        <f>K182-T182</f>
        <v>-605.01100000000008</v>
      </c>
      <c r="V182" s="7">
        <f>IF(U182&gt;0,U182,0)</f>
        <v>0</v>
      </c>
      <c r="W182" s="5">
        <f>IF(U182&gt;0,U182/H182,0)</f>
        <v>0</v>
      </c>
      <c r="X182" s="7">
        <f>IF(U182&lt;0,-U182,0)</f>
        <v>605.01100000000008</v>
      </c>
      <c r="Y182" s="5">
        <f>IF(U182&lt;0,-U182/H182,0)</f>
        <v>0.66562259335049623</v>
      </c>
      <c r="Z182" s="2" t="str">
        <f>IF(U182&gt;=0,"Profitable",IF(N182="Cancelled","Order Cancelled",IF(N182="Returned","Order Returned",IF(AND(I182&gt;=0.15,U182&lt;0),"High Discount",IF(S182&gt;H182,"Delivery Cost Exceeded Order Value","Low Order Value / Thin Margin")))))</f>
        <v>Order Returned</v>
      </c>
    </row>
    <row r="183" spans="1:26" x14ac:dyDescent="0.3">
      <c r="A183" s="2" t="s">
        <v>429</v>
      </c>
      <c r="B183" s="6">
        <v>46165.438194444498</v>
      </c>
      <c r="C183" s="2" t="s">
        <v>430</v>
      </c>
      <c r="D183" s="2" t="s">
        <v>77</v>
      </c>
      <c r="E183" s="2" t="s">
        <v>3</v>
      </c>
      <c r="F183" s="2" t="s">
        <v>6</v>
      </c>
      <c r="G183" s="2">
        <v>4</v>
      </c>
      <c r="H183" s="3">
        <v>9595.6200000000008</v>
      </c>
      <c r="I183" s="4">
        <v>0.2</v>
      </c>
      <c r="J183" s="3">
        <v>0</v>
      </c>
      <c r="K183" s="7">
        <f t="shared" si="2"/>
        <v>0</v>
      </c>
      <c r="L183" s="2" t="s">
        <v>18</v>
      </c>
      <c r="M183" s="2" t="s">
        <v>98</v>
      </c>
      <c r="N183" s="2" t="s">
        <v>17</v>
      </c>
      <c r="O183" s="2">
        <v>80</v>
      </c>
      <c r="P183" s="2">
        <v>1</v>
      </c>
      <c r="Q183" s="2" t="str">
        <f>TEXT(tblOrders[[#This Row],[Order Date]],"mmm-yyyy")</f>
        <v>May-2026</v>
      </c>
      <c r="R183" s="3">
        <f>IF(N183="Cancelled",0,H183*INDEX(Assumptions!$C$7:$C$12,MATCH(F183,Assumptions!$B$7:$B$12,0)))</f>
        <v>8444.1456000000017</v>
      </c>
      <c r="S183" s="3">
        <f>IF(N183="Cancelled",Assumptions!$C$19,IF(N183="Returned",Assumptions!$C$17+O183*Assumptions!$C$18+Assumptions!$C$20,Assumptions!$C$17+O183*Assumptions!$C$18))</f>
        <v>69</v>
      </c>
      <c r="T183" s="3">
        <f>R183+S183</f>
        <v>8513.1456000000017</v>
      </c>
      <c r="U183" s="7">
        <f>K183-T183</f>
        <v>-8513.1456000000017</v>
      </c>
      <c r="V183" s="7">
        <f>IF(U183&gt;0,U183,0)</f>
        <v>0</v>
      </c>
      <c r="W183" s="5">
        <f>IF(U183&gt;0,U183/H183,0)</f>
        <v>0</v>
      </c>
      <c r="X183" s="7">
        <f>IF(U183&lt;0,-U183,0)</f>
        <v>8513.1456000000017</v>
      </c>
      <c r="Y183" s="5">
        <f>IF(U183&lt;0,-U183/H183,0)</f>
        <v>0.88719078079373725</v>
      </c>
      <c r="Z183" s="2" t="str">
        <f>IF(U183&gt;=0,"Profitable",IF(N183="Cancelled","Order Cancelled",IF(N183="Returned","Order Returned",IF(AND(I183&gt;=0.15,U183&lt;0),"High Discount",IF(S183&gt;H183,"Delivery Cost Exceeded Order Value","Low Order Value / Thin Margin")))))</f>
        <v>Order Returned</v>
      </c>
    </row>
    <row r="184" spans="1:26" x14ac:dyDescent="0.3">
      <c r="A184" s="2" t="s">
        <v>431</v>
      </c>
      <c r="B184" s="6">
        <v>46165.509722222203</v>
      </c>
      <c r="C184" s="2" t="s">
        <v>432</v>
      </c>
      <c r="D184" s="2" t="s">
        <v>116</v>
      </c>
      <c r="E184" s="2" t="s">
        <v>5</v>
      </c>
      <c r="F184" s="2" t="s">
        <v>11</v>
      </c>
      <c r="G184" s="2">
        <v>3</v>
      </c>
      <c r="H184" s="3">
        <v>4288.43</v>
      </c>
      <c r="I184" s="4">
        <v>0.15</v>
      </c>
      <c r="J184" s="3">
        <v>0</v>
      </c>
      <c r="K184" s="7">
        <f t="shared" si="2"/>
        <v>3645.1655000000001</v>
      </c>
      <c r="L184" s="2" t="s">
        <v>19</v>
      </c>
      <c r="M184" s="2" t="s">
        <v>78</v>
      </c>
      <c r="N184" s="2" t="s">
        <v>13</v>
      </c>
      <c r="O184" s="2">
        <v>62</v>
      </c>
      <c r="P184" s="2">
        <v>5</v>
      </c>
      <c r="Q184" s="2" t="str">
        <f>TEXT(tblOrders[[#This Row],[Order Date]],"mmm-yyyy")</f>
        <v>May-2026</v>
      </c>
      <c r="R184" s="3">
        <f>IF(N184="Cancelled",0,H184*INDEX(Assumptions!$C$7:$C$12,MATCH(F184,Assumptions!$B$7:$B$12,0)))</f>
        <v>2787.4795000000004</v>
      </c>
      <c r="S184" s="3">
        <f>IF(N184="Cancelled",Assumptions!$C$19,IF(N184="Returned",Assumptions!$C$17+O184*Assumptions!$C$18+Assumptions!$C$20,Assumptions!$C$17+O184*Assumptions!$C$18))</f>
        <v>43.599999999999994</v>
      </c>
      <c r="T184" s="3">
        <f>R184+S184</f>
        <v>2831.0795000000003</v>
      </c>
      <c r="U184" s="7">
        <f>K184-T184</f>
        <v>814.08599999999979</v>
      </c>
      <c r="V184" s="7">
        <f>IF(U184&gt;0,U184,0)</f>
        <v>814.08599999999979</v>
      </c>
      <c r="W184" s="5">
        <f>IF(U184&gt;0,U184/H184,0)</f>
        <v>0.18983310908654211</v>
      </c>
      <c r="X184" s="7">
        <f>IF(U184&lt;0,-U184,0)</f>
        <v>0</v>
      </c>
      <c r="Y184" s="5">
        <f>IF(U184&lt;0,-U184/H184,0)</f>
        <v>0</v>
      </c>
      <c r="Z184" s="2" t="str">
        <f>IF(U184&gt;=0,"Profitable",IF(N184="Cancelled","Order Cancelled",IF(N184="Returned","Order Returned",IF(AND(I184&gt;=0.15,U184&lt;0),"High Discount",IF(S184&gt;H184,"Delivery Cost Exceeded Order Value","Low Order Value / Thin Margin")))))</f>
        <v>Profitable</v>
      </c>
    </row>
    <row r="185" spans="1:26" x14ac:dyDescent="0.3">
      <c r="A185" s="2" t="s">
        <v>433</v>
      </c>
      <c r="B185" s="6">
        <v>46165.672222222202</v>
      </c>
      <c r="C185" s="2" t="s">
        <v>172</v>
      </c>
      <c r="D185" s="2" t="s">
        <v>131</v>
      </c>
      <c r="E185" s="2" t="s">
        <v>3</v>
      </c>
      <c r="F185" s="2" t="s">
        <v>6</v>
      </c>
      <c r="G185" s="2">
        <v>3</v>
      </c>
      <c r="H185" s="3">
        <v>9983.2199999999993</v>
      </c>
      <c r="I185" s="4">
        <v>0.05</v>
      </c>
      <c r="J185" s="3">
        <v>0</v>
      </c>
      <c r="K185" s="7">
        <f t="shared" si="2"/>
        <v>9484.0589999999993</v>
      </c>
      <c r="L185" s="2" t="s">
        <v>18</v>
      </c>
      <c r="M185" s="2" t="s">
        <v>78</v>
      </c>
      <c r="N185" s="2" t="s">
        <v>13</v>
      </c>
      <c r="O185" s="2">
        <v>42</v>
      </c>
      <c r="P185" s="2">
        <v>3</v>
      </c>
      <c r="Q185" s="2" t="str">
        <f>TEXT(tblOrders[[#This Row],[Order Date]],"mmm-yyyy")</f>
        <v>May-2026</v>
      </c>
      <c r="R185" s="3">
        <f>IF(N185="Cancelled",0,H185*INDEX(Assumptions!$C$7:$C$12,MATCH(F185,Assumptions!$B$7:$B$12,0)))</f>
        <v>8785.2335999999996</v>
      </c>
      <c r="S185" s="3">
        <f>IF(N185="Cancelled",Assumptions!$C$19,IF(N185="Returned",Assumptions!$C$17+O185*Assumptions!$C$18+Assumptions!$C$20,Assumptions!$C$17+O185*Assumptions!$C$18))</f>
        <v>37.6</v>
      </c>
      <c r="T185" s="3">
        <f>R185+S185</f>
        <v>8822.8335999999999</v>
      </c>
      <c r="U185" s="7">
        <f>K185-T185</f>
        <v>661.22539999999935</v>
      </c>
      <c r="V185" s="7">
        <f>IF(U185&gt;0,U185,0)</f>
        <v>661.22539999999935</v>
      </c>
      <c r="W185" s="5">
        <f>IF(U185&gt;0,U185/H185,0)</f>
        <v>6.6233680115233298E-2</v>
      </c>
      <c r="X185" s="7">
        <f>IF(U185&lt;0,-U185,0)</f>
        <v>0</v>
      </c>
      <c r="Y185" s="5">
        <f>IF(U185&lt;0,-U185/H185,0)</f>
        <v>0</v>
      </c>
      <c r="Z185" s="2" t="str">
        <f>IF(U185&gt;=0,"Profitable",IF(N185="Cancelled","Order Cancelled",IF(N185="Returned","Order Returned",IF(AND(I185&gt;=0.15,U185&lt;0),"High Discount",IF(S185&gt;H185,"Delivery Cost Exceeded Order Value","Low Order Value / Thin Margin")))))</f>
        <v>Profitable</v>
      </c>
    </row>
    <row r="186" spans="1:26" x14ac:dyDescent="0.3">
      <c r="A186" s="2" t="s">
        <v>434</v>
      </c>
      <c r="B186" s="6">
        <v>46166.570833333302</v>
      </c>
      <c r="C186" s="2" t="s">
        <v>435</v>
      </c>
      <c r="D186" s="2" t="s">
        <v>73</v>
      </c>
      <c r="E186" s="2" t="s">
        <v>3</v>
      </c>
      <c r="F186" s="2" t="s">
        <v>8</v>
      </c>
      <c r="G186" s="2">
        <v>2</v>
      </c>
      <c r="H186" s="3">
        <v>2000.76</v>
      </c>
      <c r="I186" s="4">
        <v>0.1</v>
      </c>
      <c r="J186" s="3">
        <v>0</v>
      </c>
      <c r="K186" s="7">
        <f t="shared" si="2"/>
        <v>1800.684</v>
      </c>
      <c r="L186" s="2" t="s">
        <v>18</v>
      </c>
      <c r="M186" s="2" t="s">
        <v>140</v>
      </c>
      <c r="N186" s="2" t="s">
        <v>13</v>
      </c>
      <c r="O186" s="2">
        <v>51</v>
      </c>
      <c r="P186" s="2">
        <v>5</v>
      </c>
      <c r="Q186" s="2" t="str">
        <f>TEXT(tblOrders[[#This Row],[Order Date]],"mmm-yyyy")</f>
        <v>May-2026</v>
      </c>
      <c r="R186" s="3">
        <f>IF(N186="Cancelled",0,H186*INDEX(Assumptions!$C$7:$C$12,MATCH(F186,Assumptions!$B$7:$B$12,0)))</f>
        <v>1100.4180000000001</v>
      </c>
      <c r="S186" s="3">
        <f>IF(N186="Cancelled",Assumptions!$C$19,IF(N186="Returned",Assumptions!$C$17+O186*Assumptions!$C$18+Assumptions!$C$20,Assumptions!$C$17+O186*Assumptions!$C$18))</f>
        <v>40.299999999999997</v>
      </c>
      <c r="T186" s="3">
        <f>R186+S186</f>
        <v>1140.7180000000001</v>
      </c>
      <c r="U186" s="7">
        <f>K186-T186</f>
        <v>659.96599999999989</v>
      </c>
      <c r="V186" s="7">
        <f>IF(U186&gt;0,U186,0)</f>
        <v>659.96599999999989</v>
      </c>
      <c r="W186" s="5">
        <f>IF(U186&gt;0,U186/H186,0)</f>
        <v>0.32985765409144518</v>
      </c>
      <c r="X186" s="7">
        <f>IF(U186&lt;0,-U186,0)</f>
        <v>0</v>
      </c>
      <c r="Y186" s="5">
        <f>IF(U186&lt;0,-U186/H186,0)</f>
        <v>0</v>
      </c>
      <c r="Z186" s="2" t="str">
        <f>IF(U186&gt;=0,"Profitable",IF(N186="Cancelled","Order Cancelled",IF(N186="Returned","Order Returned",IF(AND(I186&gt;=0.15,U186&lt;0),"High Discount",IF(S186&gt;H186,"Delivery Cost Exceeded Order Value","Low Order Value / Thin Margin")))))</f>
        <v>Profitable</v>
      </c>
    </row>
    <row r="187" spans="1:26" x14ac:dyDescent="0.3">
      <c r="A187" s="2" t="s">
        <v>436</v>
      </c>
      <c r="B187" s="6">
        <v>46167.680555555598</v>
      </c>
      <c r="C187" s="2" t="s">
        <v>189</v>
      </c>
      <c r="D187" s="2" t="s">
        <v>69</v>
      </c>
      <c r="E187" s="2" t="s">
        <v>3</v>
      </c>
      <c r="F187" s="2" t="s">
        <v>6</v>
      </c>
      <c r="G187" s="2">
        <v>3</v>
      </c>
      <c r="H187" s="3">
        <v>9279.0499999999993</v>
      </c>
      <c r="I187" s="4">
        <v>0</v>
      </c>
      <c r="J187" s="3">
        <v>0</v>
      </c>
      <c r="K187" s="7">
        <f t="shared" si="2"/>
        <v>9279.0499999999993</v>
      </c>
      <c r="L187" s="2" t="s">
        <v>18</v>
      </c>
      <c r="M187" s="2" t="s">
        <v>146</v>
      </c>
      <c r="N187" s="2" t="s">
        <v>13</v>
      </c>
      <c r="O187" s="2">
        <v>78</v>
      </c>
      <c r="P187" s="2">
        <v>5</v>
      </c>
      <c r="Q187" s="2" t="str">
        <f>TEXT(tblOrders[[#This Row],[Order Date]],"mmm-yyyy")</f>
        <v>May-2026</v>
      </c>
      <c r="R187" s="3">
        <f>IF(N187="Cancelled",0,H187*INDEX(Assumptions!$C$7:$C$12,MATCH(F187,Assumptions!$B$7:$B$12,0)))</f>
        <v>8165.5639999999994</v>
      </c>
      <c r="S187" s="3">
        <f>IF(N187="Cancelled",Assumptions!$C$19,IF(N187="Returned",Assumptions!$C$17+O187*Assumptions!$C$18+Assumptions!$C$20,Assumptions!$C$17+O187*Assumptions!$C$18))</f>
        <v>48.4</v>
      </c>
      <c r="T187" s="3">
        <f>R187+S187</f>
        <v>8213.9639999999999</v>
      </c>
      <c r="U187" s="7">
        <f>K187-T187</f>
        <v>1065.0859999999993</v>
      </c>
      <c r="V187" s="7">
        <f>IF(U187&gt;0,U187,0)</f>
        <v>1065.0859999999993</v>
      </c>
      <c r="W187" s="5">
        <f>IF(U187&gt;0,U187/H187,0)</f>
        <v>0.11478394878786076</v>
      </c>
      <c r="X187" s="7">
        <f>IF(U187&lt;0,-U187,0)</f>
        <v>0</v>
      </c>
      <c r="Y187" s="5">
        <f>IF(U187&lt;0,-U187/H187,0)</f>
        <v>0</v>
      </c>
      <c r="Z187" s="2" t="str">
        <f>IF(U187&gt;=0,"Profitable",IF(N187="Cancelled","Order Cancelled",IF(N187="Returned","Order Returned",IF(AND(I187&gt;=0.15,U187&lt;0),"High Discount",IF(S187&gt;H187,"Delivery Cost Exceeded Order Value","Low Order Value / Thin Margin")))))</f>
        <v>Profitable</v>
      </c>
    </row>
    <row r="188" spans="1:26" x14ac:dyDescent="0.3">
      <c r="A188" s="2" t="s">
        <v>437</v>
      </c>
      <c r="B188" s="6">
        <v>46167.8256944444</v>
      </c>
      <c r="C188" s="2" t="s">
        <v>438</v>
      </c>
      <c r="D188" s="2" t="s">
        <v>69</v>
      </c>
      <c r="E188" s="2" t="s">
        <v>3</v>
      </c>
      <c r="F188" s="2" t="s">
        <v>9</v>
      </c>
      <c r="G188" s="2">
        <v>1</v>
      </c>
      <c r="H188" s="3">
        <v>558.16999999999996</v>
      </c>
      <c r="I188" s="4">
        <v>0</v>
      </c>
      <c r="J188" s="3">
        <v>49</v>
      </c>
      <c r="K188" s="7">
        <f t="shared" si="2"/>
        <v>607.16999999999996</v>
      </c>
      <c r="L188" s="2" t="s">
        <v>14</v>
      </c>
      <c r="M188" s="2" t="s">
        <v>98</v>
      </c>
      <c r="N188" s="2" t="s">
        <v>13</v>
      </c>
      <c r="O188" s="2">
        <v>74</v>
      </c>
      <c r="P188" s="2">
        <v>5</v>
      </c>
      <c r="Q188" s="2" t="str">
        <f>TEXT(tblOrders[[#This Row],[Order Date]],"mmm-yyyy")</f>
        <v>May-2026</v>
      </c>
      <c r="R188" s="3">
        <f>IF(N188="Cancelled",0,H188*INDEX(Assumptions!$C$7:$C$12,MATCH(F188,Assumptions!$B$7:$B$12,0)))</f>
        <v>251.17649999999998</v>
      </c>
      <c r="S188" s="3">
        <f>IF(N188="Cancelled",Assumptions!$C$19,IF(N188="Returned",Assumptions!$C$17+O188*Assumptions!$C$18+Assumptions!$C$20,Assumptions!$C$17+O188*Assumptions!$C$18))</f>
        <v>47.2</v>
      </c>
      <c r="T188" s="3">
        <f>R188+S188</f>
        <v>298.37649999999996</v>
      </c>
      <c r="U188" s="7">
        <f>K188-T188</f>
        <v>308.79349999999999</v>
      </c>
      <c r="V188" s="7">
        <f>IF(U188&gt;0,U188,0)</f>
        <v>308.79349999999999</v>
      </c>
      <c r="W188" s="5">
        <f>IF(U188&gt;0,U188/H188,0)</f>
        <v>0.55322482397835793</v>
      </c>
      <c r="X188" s="7">
        <f>IF(U188&lt;0,-U188,0)</f>
        <v>0</v>
      </c>
      <c r="Y188" s="5">
        <f>IF(U188&lt;0,-U188/H188,0)</f>
        <v>0</v>
      </c>
      <c r="Z188" s="2" t="str">
        <f>IF(U188&gt;=0,"Profitable",IF(N188="Cancelled","Order Cancelled",IF(N188="Returned","Order Returned",IF(AND(I188&gt;=0.15,U188&lt;0),"High Discount",IF(S188&gt;H188,"Delivery Cost Exceeded Order Value","Low Order Value / Thin Margin")))))</f>
        <v>Profitable</v>
      </c>
    </row>
    <row r="189" spans="1:26" x14ac:dyDescent="0.3">
      <c r="A189" s="2" t="s">
        <v>439</v>
      </c>
      <c r="B189" s="6">
        <v>46168.378472222197</v>
      </c>
      <c r="C189" s="2" t="s">
        <v>440</v>
      </c>
      <c r="D189" s="2" t="s">
        <v>69</v>
      </c>
      <c r="E189" s="2" t="s">
        <v>5</v>
      </c>
      <c r="F189" s="2" t="s">
        <v>9</v>
      </c>
      <c r="G189" s="2">
        <v>5</v>
      </c>
      <c r="H189" s="3">
        <v>712.67</v>
      </c>
      <c r="I189" s="4">
        <v>0</v>
      </c>
      <c r="J189" s="3">
        <v>59</v>
      </c>
      <c r="K189" s="7">
        <f t="shared" si="2"/>
        <v>771.67</v>
      </c>
      <c r="L189" s="2" t="s">
        <v>16</v>
      </c>
      <c r="M189" s="2" t="s">
        <v>98</v>
      </c>
      <c r="N189" s="2" t="s">
        <v>13</v>
      </c>
      <c r="O189" s="2">
        <v>95</v>
      </c>
      <c r="P189" s="2">
        <v>4</v>
      </c>
      <c r="Q189" s="2" t="str">
        <f>TEXT(tblOrders[[#This Row],[Order Date]],"mmm-yyyy")</f>
        <v>May-2026</v>
      </c>
      <c r="R189" s="3">
        <f>IF(N189="Cancelled",0,H189*INDEX(Assumptions!$C$7:$C$12,MATCH(F189,Assumptions!$B$7:$B$12,0)))</f>
        <v>320.70150000000001</v>
      </c>
      <c r="S189" s="3">
        <f>IF(N189="Cancelled",Assumptions!$C$19,IF(N189="Returned",Assumptions!$C$17+O189*Assumptions!$C$18+Assumptions!$C$20,Assumptions!$C$17+O189*Assumptions!$C$18))</f>
        <v>53.5</v>
      </c>
      <c r="T189" s="3">
        <f>R189+S189</f>
        <v>374.20150000000001</v>
      </c>
      <c r="U189" s="7">
        <f>K189-T189</f>
        <v>397.46849999999995</v>
      </c>
      <c r="V189" s="7">
        <f>IF(U189&gt;0,U189,0)</f>
        <v>397.46849999999995</v>
      </c>
      <c r="W189" s="5">
        <f>IF(U189&gt;0,U189/H189,0)</f>
        <v>0.55771745688747942</v>
      </c>
      <c r="X189" s="7">
        <f>IF(U189&lt;0,-U189,0)</f>
        <v>0</v>
      </c>
      <c r="Y189" s="5">
        <f>IF(U189&lt;0,-U189/H189,0)</f>
        <v>0</v>
      </c>
      <c r="Z189" s="2" t="str">
        <f>IF(U189&gt;=0,"Profitable",IF(N189="Cancelled","Order Cancelled",IF(N189="Returned","Order Returned",IF(AND(I189&gt;=0.15,U189&lt;0),"High Discount",IF(S189&gt;H189,"Delivery Cost Exceeded Order Value","Low Order Value / Thin Margin")))))</f>
        <v>Profitable</v>
      </c>
    </row>
    <row r="190" spans="1:26" x14ac:dyDescent="0.3">
      <c r="A190" s="2" t="s">
        <v>441</v>
      </c>
      <c r="B190" s="6">
        <v>46170.366666666698</v>
      </c>
      <c r="C190" s="2" t="s">
        <v>442</v>
      </c>
      <c r="D190" s="2" t="s">
        <v>87</v>
      </c>
      <c r="E190" s="2" t="s">
        <v>3</v>
      </c>
      <c r="F190" s="2" t="s">
        <v>9</v>
      </c>
      <c r="G190" s="2">
        <v>6</v>
      </c>
      <c r="H190" s="3">
        <v>453.78</v>
      </c>
      <c r="I190" s="4">
        <v>0</v>
      </c>
      <c r="J190" s="3">
        <v>39</v>
      </c>
      <c r="K190" s="7">
        <f t="shared" si="2"/>
        <v>492.78</v>
      </c>
      <c r="L190" s="2" t="s">
        <v>19</v>
      </c>
      <c r="M190" s="2" t="s">
        <v>140</v>
      </c>
      <c r="N190" s="2" t="s">
        <v>13</v>
      </c>
      <c r="O190" s="2">
        <v>80</v>
      </c>
      <c r="P190" s="2">
        <v>3</v>
      </c>
      <c r="Q190" s="2" t="str">
        <f>TEXT(tblOrders[[#This Row],[Order Date]],"mmm-yyyy")</f>
        <v>May-2026</v>
      </c>
      <c r="R190" s="3">
        <f>IF(N190="Cancelled",0,H190*INDEX(Assumptions!$C$7:$C$12,MATCH(F190,Assumptions!$B$7:$B$12,0)))</f>
        <v>204.20099999999999</v>
      </c>
      <c r="S190" s="3">
        <f>IF(N190="Cancelled",Assumptions!$C$19,IF(N190="Returned",Assumptions!$C$17+O190*Assumptions!$C$18+Assumptions!$C$20,Assumptions!$C$17+O190*Assumptions!$C$18))</f>
        <v>49</v>
      </c>
      <c r="T190" s="3">
        <f>R190+S190</f>
        <v>253.20099999999999</v>
      </c>
      <c r="U190" s="7">
        <f>K190-T190</f>
        <v>239.57899999999998</v>
      </c>
      <c r="V190" s="7">
        <f>IF(U190&gt;0,U190,0)</f>
        <v>239.57899999999998</v>
      </c>
      <c r="W190" s="5">
        <f>IF(U190&gt;0,U190/H190,0)</f>
        <v>0.52796288950592796</v>
      </c>
      <c r="X190" s="7">
        <f>IF(U190&lt;0,-U190,0)</f>
        <v>0</v>
      </c>
      <c r="Y190" s="5">
        <f>IF(U190&lt;0,-U190/H190,0)</f>
        <v>0</v>
      </c>
      <c r="Z190" s="2" t="str">
        <f>IF(U190&gt;=0,"Profitable",IF(N190="Cancelled","Order Cancelled",IF(N190="Returned","Order Returned",IF(AND(I190&gt;=0.15,U190&lt;0),"High Discount",IF(S190&gt;H190,"Delivery Cost Exceeded Order Value","Low Order Value / Thin Margin")))))</f>
        <v>Profitable</v>
      </c>
    </row>
    <row r="191" spans="1:26" x14ac:dyDescent="0.3">
      <c r="A191" s="2" t="s">
        <v>443</v>
      </c>
      <c r="B191" s="6">
        <v>46171.7097222222</v>
      </c>
      <c r="C191" s="2" t="s">
        <v>444</v>
      </c>
      <c r="D191" s="2" t="s">
        <v>73</v>
      </c>
      <c r="E191" s="2" t="s">
        <v>3</v>
      </c>
      <c r="F191" s="2" t="s">
        <v>9</v>
      </c>
      <c r="G191" s="2">
        <v>5</v>
      </c>
      <c r="H191" s="3">
        <v>552.17999999999995</v>
      </c>
      <c r="I191" s="4">
        <v>0</v>
      </c>
      <c r="J191" s="3">
        <v>49</v>
      </c>
      <c r="K191" s="7">
        <f t="shared" si="2"/>
        <v>601.17999999999995</v>
      </c>
      <c r="L191" s="2" t="s">
        <v>16</v>
      </c>
      <c r="M191" s="2" t="s">
        <v>78</v>
      </c>
      <c r="N191" s="2" t="s">
        <v>13</v>
      </c>
      <c r="O191" s="2">
        <v>58</v>
      </c>
      <c r="P191" s="2">
        <v>3</v>
      </c>
      <c r="Q191" s="2" t="str">
        <f>TEXT(tblOrders[[#This Row],[Order Date]],"mmm-yyyy")</f>
        <v>May-2026</v>
      </c>
      <c r="R191" s="3">
        <f>IF(N191="Cancelled",0,H191*INDEX(Assumptions!$C$7:$C$12,MATCH(F191,Assumptions!$B$7:$B$12,0)))</f>
        <v>248.48099999999999</v>
      </c>
      <c r="S191" s="3">
        <f>IF(N191="Cancelled",Assumptions!$C$19,IF(N191="Returned",Assumptions!$C$17+O191*Assumptions!$C$18+Assumptions!$C$20,Assumptions!$C$17+O191*Assumptions!$C$18))</f>
        <v>42.4</v>
      </c>
      <c r="T191" s="3">
        <f>R191+S191</f>
        <v>290.88099999999997</v>
      </c>
      <c r="U191" s="7">
        <f>K191-T191</f>
        <v>310.29899999999998</v>
      </c>
      <c r="V191" s="7">
        <f>IF(U191&gt;0,U191,0)</f>
        <v>310.29899999999998</v>
      </c>
      <c r="W191" s="5">
        <f>IF(U191&gt;0,U191/H191,0)</f>
        <v>0.56195262414430081</v>
      </c>
      <c r="X191" s="7">
        <f>IF(U191&lt;0,-U191,0)</f>
        <v>0</v>
      </c>
      <c r="Y191" s="5">
        <f>IF(U191&lt;0,-U191/H191,0)</f>
        <v>0</v>
      </c>
      <c r="Z191" s="2" t="str">
        <f>IF(U191&gt;=0,"Profitable",IF(N191="Cancelled","Order Cancelled",IF(N191="Returned","Order Returned",IF(AND(I191&gt;=0.15,U191&lt;0),"High Discount",IF(S191&gt;H191,"Delivery Cost Exceeded Order Value","Low Order Value / Thin Margin")))))</f>
        <v>Profitable</v>
      </c>
    </row>
    <row r="192" spans="1:26" x14ac:dyDescent="0.3">
      <c r="A192" s="2" t="s">
        <v>445</v>
      </c>
      <c r="B192" s="6">
        <v>46174.563888888901</v>
      </c>
      <c r="C192" s="2" t="s">
        <v>446</v>
      </c>
      <c r="D192" s="2" t="s">
        <v>77</v>
      </c>
      <c r="E192" s="2" t="s">
        <v>3</v>
      </c>
      <c r="F192" s="2" t="s">
        <v>10</v>
      </c>
      <c r="G192" s="2">
        <v>6</v>
      </c>
      <c r="H192" s="3">
        <v>879.35</v>
      </c>
      <c r="I192" s="4">
        <v>0.05</v>
      </c>
      <c r="J192" s="3">
        <v>29</v>
      </c>
      <c r="K192" s="7">
        <f t="shared" si="2"/>
        <v>864.38249999999994</v>
      </c>
      <c r="L192" s="2" t="s">
        <v>18</v>
      </c>
      <c r="M192" s="2" t="s">
        <v>200</v>
      </c>
      <c r="N192" s="2" t="s">
        <v>13</v>
      </c>
      <c r="O192" s="2">
        <v>32</v>
      </c>
      <c r="P192" s="2">
        <v>4</v>
      </c>
      <c r="Q192" s="2" t="str">
        <f>TEXT(tblOrders[[#This Row],[Order Date]],"mmm-yyyy")</f>
        <v>Jun-2026</v>
      </c>
      <c r="R192" s="3">
        <f>IF(N192="Cancelled",0,H192*INDEX(Assumptions!$C$7:$C$12,MATCH(F192,Assumptions!$B$7:$B$12,0)))</f>
        <v>615.54499999999996</v>
      </c>
      <c r="S192" s="3">
        <f>IF(N192="Cancelled",Assumptions!$C$19,IF(N192="Returned",Assumptions!$C$17+O192*Assumptions!$C$18+Assumptions!$C$20,Assumptions!$C$17+O192*Assumptions!$C$18))</f>
        <v>34.6</v>
      </c>
      <c r="T192" s="3">
        <f>R192+S192</f>
        <v>650.14499999999998</v>
      </c>
      <c r="U192" s="7">
        <f>K192-T192</f>
        <v>214.23749999999995</v>
      </c>
      <c r="V192" s="7">
        <f>IF(U192&gt;0,U192,0)</f>
        <v>214.23749999999995</v>
      </c>
      <c r="W192" s="5">
        <f>IF(U192&gt;0,U192/H192,0)</f>
        <v>0.24363165974867795</v>
      </c>
      <c r="X192" s="7">
        <f>IF(U192&lt;0,-U192,0)</f>
        <v>0</v>
      </c>
      <c r="Y192" s="5">
        <f>IF(U192&lt;0,-U192/H192,0)</f>
        <v>0</v>
      </c>
      <c r="Z192" s="2" t="str">
        <f>IF(U192&gt;=0,"Profitable",IF(N192="Cancelled","Order Cancelled",IF(N192="Returned","Order Returned",IF(AND(I192&gt;=0.15,U192&lt;0),"High Discount",IF(S192&gt;H192,"Delivery Cost Exceeded Order Value","Low Order Value / Thin Margin")))))</f>
        <v>Profitable</v>
      </c>
    </row>
    <row r="193" spans="1:26" x14ac:dyDescent="0.3">
      <c r="A193" s="2" t="s">
        <v>447</v>
      </c>
      <c r="B193" s="6">
        <v>46174.737500000003</v>
      </c>
      <c r="C193" s="2" t="s">
        <v>448</v>
      </c>
      <c r="D193" s="2" t="s">
        <v>116</v>
      </c>
      <c r="E193" s="2" t="s">
        <v>3</v>
      </c>
      <c r="F193" s="2" t="s">
        <v>4</v>
      </c>
      <c r="G193" s="2">
        <v>2</v>
      </c>
      <c r="H193" s="3">
        <v>1060.19</v>
      </c>
      <c r="I193" s="4">
        <v>0</v>
      </c>
      <c r="J193" s="3">
        <v>0</v>
      </c>
      <c r="K193" s="7">
        <f t="shared" si="2"/>
        <v>1060.19</v>
      </c>
      <c r="L193" s="2" t="s">
        <v>14</v>
      </c>
      <c r="M193" s="2" t="s">
        <v>107</v>
      </c>
      <c r="N193" s="2" t="s">
        <v>13</v>
      </c>
      <c r="O193" s="2">
        <v>59</v>
      </c>
      <c r="P193" s="2">
        <v>3</v>
      </c>
      <c r="Q193" s="2" t="str">
        <f>TEXT(tblOrders[[#This Row],[Order Date]],"mmm-yyyy")</f>
        <v>Jun-2026</v>
      </c>
      <c r="R193" s="3">
        <f>IF(N193="Cancelled",0,H193*INDEX(Assumptions!$C$7:$C$12,MATCH(F193,Assumptions!$B$7:$B$12,0)))</f>
        <v>826.94820000000004</v>
      </c>
      <c r="S193" s="3">
        <f>IF(N193="Cancelled",Assumptions!$C$19,IF(N193="Returned",Assumptions!$C$17+O193*Assumptions!$C$18+Assumptions!$C$20,Assumptions!$C$17+O193*Assumptions!$C$18))</f>
        <v>42.7</v>
      </c>
      <c r="T193" s="3">
        <f>R193+S193</f>
        <v>869.64820000000009</v>
      </c>
      <c r="U193" s="7">
        <f>K193-T193</f>
        <v>190.54179999999997</v>
      </c>
      <c r="V193" s="7">
        <f>IF(U193&gt;0,U193,0)</f>
        <v>190.54179999999997</v>
      </c>
      <c r="W193" s="5">
        <f>IF(U193&gt;0,U193/H193,0)</f>
        <v>0.17972420037917727</v>
      </c>
      <c r="X193" s="7">
        <f>IF(U193&lt;0,-U193,0)</f>
        <v>0</v>
      </c>
      <c r="Y193" s="5">
        <f>IF(U193&lt;0,-U193/H193,0)</f>
        <v>0</v>
      </c>
      <c r="Z193" s="2" t="str">
        <f>IF(U193&gt;=0,"Profitable",IF(N193="Cancelled","Order Cancelled",IF(N193="Returned","Order Returned",IF(AND(I193&gt;=0.15,U193&lt;0),"High Discount",IF(S193&gt;H193,"Delivery Cost Exceeded Order Value","Low Order Value / Thin Margin")))))</f>
        <v>Profitable</v>
      </c>
    </row>
    <row r="194" spans="1:26" x14ac:dyDescent="0.3">
      <c r="A194" s="2" t="s">
        <v>449</v>
      </c>
      <c r="B194" s="6">
        <v>46175.716666666704</v>
      </c>
      <c r="C194" s="2" t="s">
        <v>450</v>
      </c>
      <c r="D194" s="2" t="s">
        <v>81</v>
      </c>
      <c r="E194" s="2" t="s">
        <v>3</v>
      </c>
      <c r="F194" s="2" t="s">
        <v>8</v>
      </c>
      <c r="G194" s="2">
        <v>1</v>
      </c>
      <c r="H194" s="3">
        <v>3810.65</v>
      </c>
      <c r="I194" s="4">
        <v>0</v>
      </c>
      <c r="J194" s="3">
        <v>0</v>
      </c>
      <c r="K194" s="7">
        <f t="shared" ref="K194:K221" si="3">IF(N194="Cancelled",0,IF(N194="Returned",J194,H194*(1-I194)+J194))</f>
        <v>3810.65</v>
      </c>
      <c r="L194" s="2" t="s">
        <v>19</v>
      </c>
      <c r="M194" s="2" t="s">
        <v>88</v>
      </c>
      <c r="N194" s="2" t="s">
        <v>13</v>
      </c>
      <c r="O194" s="2">
        <v>60</v>
      </c>
      <c r="P194" s="2">
        <v>4</v>
      </c>
      <c r="Q194" s="2" t="str">
        <f>TEXT(tblOrders[[#This Row],[Order Date]],"mmm-yyyy")</f>
        <v>Jun-2026</v>
      </c>
      <c r="R194" s="3">
        <f>IF(N194="Cancelled",0,H194*INDEX(Assumptions!$C$7:$C$12,MATCH(F194,Assumptions!$B$7:$B$12,0)))</f>
        <v>2095.8575000000001</v>
      </c>
      <c r="S194" s="3">
        <f>IF(N194="Cancelled",Assumptions!$C$19,IF(N194="Returned",Assumptions!$C$17+O194*Assumptions!$C$18+Assumptions!$C$20,Assumptions!$C$17+O194*Assumptions!$C$18))</f>
        <v>43</v>
      </c>
      <c r="T194" s="3">
        <f>R194+S194</f>
        <v>2138.8575000000001</v>
      </c>
      <c r="U194" s="7">
        <f>K194-T194</f>
        <v>1671.7925</v>
      </c>
      <c r="V194" s="7">
        <f>IF(U194&gt;0,U194,0)</f>
        <v>1671.7925</v>
      </c>
      <c r="W194" s="5">
        <f>IF(U194&gt;0,U194/H194,0)</f>
        <v>0.43871583588101765</v>
      </c>
      <c r="X194" s="7">
        <f>IF(U194&lt;0,-U194,0)</f>
        <v>0</v>
      </c>
      <c r="Y194" s="5">
        <f>IF(U194&lt;0,-U194/H194,0)</f>
        <v>0</v>
      </c>
      <c r="Z194" s="2" t="str">
        <f>IF(U194&gt;=0,"Profitable",IF(N194="Cancelled","Order Cancelled",IF(N194="Returned","Order Returned",IF(AND(I194&gt;=0.15,U194&lt;0),"High Discount",IF(S194&gt;H194,"Delivery Cost Exceeded Order Value","Low Order Value / Thin Margin")))))</f>
        <v>Profitable</v>
      </c>
    </row>
    <row r="195" spans="1:26" x14ac:dyDescent="0.3">
      <c r="A195" s="2" t="s">
        <v>451</v>
      </c>
      <c r="B195" s="6">
        <v>46175.795138888898</v>
      </c>
      <c r="C195" s="2" t="s">
        <v>289</v>
      </c>
      <c r="D195" s="2" t="s">
        <v>73</v>
      </c>
      <c r="E195" s="2" t="s">
        <v>3</v>
      </c>
      <c r="F195" s="2" t="s">
        <v>6</v>
      </c>
      <c r="G195" s="2">
        <v>3</v>
      </c>
      <c r="H195" s="3">
        <v>12347.22</v>
      </c>
      <c r="I195" s="4">
        <v>0.15</v>
      </c>
      <c r="J195" s="3">
        <v>0</v>
      </c>
      <c r="K195" s="7">
        <f t="shared" si="3"/>
        <v>10495.136999999999</v>
      </c>
      <c r="L195" s="2" t="s">
        <v>14</v>
      </c>
      <c r="M195" s="2" t="s">
        <v>146</v>
      </c>
      <c r="N195" s="2" t="s">
        <v>13</v>
      </c>
      <c r="O195" s="2">
        <v>72</v>
      </c>
      <c r="P195" s="2">
        <v>5</v>
      </c>
      <c r="Q195" s="2" t="str">
        <f>TEXT(tblOrders[[#This Row],[Order Date]],"mmm-yyyy")</f>
        <v>Jun-2026</v>
      </c>
      <c r="R195" s="3">
        <f>IF(N195="Cancelled",0,H195*INDEX(Assumptions!$C$7:$C$12,MATCH(F195,Assumptions!$B$7:$B$12,0)))</f>
        <v>10865.553599999999</v>
      </c>
      <c r="S195" s="3">
        <f>IF(N195="Cancelled",Assumptions!$C$19,IF(N195="Returned",Assumptions!$C$17+O195*Assumptions!$C$18+Assumptions!$C$20,Assumptions!$C$17+O195*Assumptions!$C$18))</f>
        <v>46.599999999999994</v>
      </c>
      <c r="T195" s="3">
        <f>R195+S195</f>
        <v>10912.1536</v>
      </c>
      <c r="U195" s="7">
        <f>K195-T195</f>
        <v>-417.01660000000084</v>
      </c>
      <c r="V195" s="7">
        <f>IF(U195&gt;0,U195,0)</f>
        <v>0</v>
      </c>
      <c r="W195" s="5">
        <f>IF(U195&gt;0,U195/H195,0)</f>
        <v>0</v>
      </c>
      <c r="X195" s="7">
        <f>IF(U195&lt;0,-U195,0)</f>
        <v>417.01660000000084</v>
      </c>
      <c r="Y195" s="5">
        <f>IF(U195&lt;0,-U195/H195,0)</f>
        <v>3.3774128913229118E-2</v>
      </c>
      <c r="Z195" s="2" t="str">
        <f>IF(U195&gt;=0,"Profitable",IF(N195="Cancelled","Order Cancelled",IF(N195="Returned","Order Returned",IF(AND(I195&gt;=0.15,U195&lt;0),"High Discount",IF(S195&gt;H195,"Delivery Cost Exceeded Order Value","Low Order Value / Thin Margin")))))</f>
        <v>High Discount</v>
      </c>
    </row>
    <row r="196" spans="1:26" x14ac:dyDescent="0.3">
      <c r="A196" s="2" t="s">
        <v>452</v>
      </c>
      <c r="B196" s="6">
        <v>46177.6472222222</v>
      </c>
      <c r="C196" s="2" t="s">
        <v>453</v>
      </c>
      <c r="D196" s="2" t="s">
        <v>77</v>
      </c>
      <c r="E196" s="2" t="s">
        <v>3</v>
      </c>
      <c r="F196" s="2" t="s">
        <v>4</v>
      </c>
      <c r="G196" s="2">
        <v>1</v>
      </c>
      <c r="H196" s="3">
        <v>1001.52</v>
      </c>
      <c r="I196" s="4">
        <v>0.2</v>
      </c>
      <c r="J196" s="3">
        <v>0</v>
      </c>
      <c r="K196" s="7">
        <f t="shared" si="3"/>
        <v>0</v>
      </c>
      <c r="L196" s="2" t="s">
        <v>18</v>
      </c>
      <c r="M196" s="2" t="s">
        <v>137</v>
      </c>
      <c r="N196" s="2" t="s">
        <v>17</v>
      </c>
      <c r="O196" s="2">
        <v>28</v>
      </c>
      <c r="P196" s="2">
        <v>3</v>
      </c>
      <c r="Q196" s="2" t="str">
        <f>TEXT(tblOrders[[#This Row],[Order Date]],"mmm-yyyy")</f>
        <v>Jun-2026</v>
      </c>
      <c r="R196" s="3">
        <f>IF(N196="Cancelled",0,H196*INDEX(Assumptions!$C$7:$C$12,MATCH(F196,Assumptions!$B$7:$B$12,0)))</f>
        <v>781.18560000000002</v>
      </c>
      <c r="S196" s="3">
        <f>IF(N196="Cancelled",Assumptions!$C$19,IF(N196="Returned",Assumptions!$C$17+O196*Assumptions!$C$18+Assumptions!$C$20,Assumptions!$C$17+O196*Assumptions!$C$18))</f>
        <v>53.4</v>
      </c>
      <c r="T196" s="3">
        <f>R196+S196</f>
        <v>834.5856</v>
      </c>
      <c r="U196" s="7">
        <f>K196-T196</f>
        <v>-834.5856</v>
      </c>
      <c r="V196" s="7">
        <f>IF(U196&gt;0,U196,0)</f>
        <v>0</v>
      </c>
      <c r="W196" s="5">
        <f>IF(U196&gt;0,U196/H196,0)</f>
        <v>0</v>
      </c>
      <c r="X196" s="7">
        <f>IF(U196&lt;0,-U196,0)</f>
        <v>834.5856</v>
      </c>
      <c r="Y196" s="5">
        <f>IF(U196&lt;0,-U196/H196,0)</f>
        <v>0.83331895518811405</v>
      </c>
      <c r="Z196" s="2" t="str">
        <f>IF(U196&gt;=0,"Profitable",IF(N196="Cancelled","Order Cancelled",IF(N196="Returned","Order Returned",IF(AND(I196&gt;=0.15,U196&lt;0),"High Discount",IF(S196&gt;H196,"Delivery Cost Exceeded Order Value","Low Order Value / Thin Margin")))))</f>
        <v>Order Returned</v>
      </c>
    </row>
    <row r="197" spans="1:26" x14ac:dyDescent="0.3">
      <c r="A197" s="2" t="s">
        <v>454</v>
      </c>
      <c r="B197" s="6">
        <v>46178.559722222199</v>
      </c>
      <c r="C197" s="2" t="s">
        <v>455</v>
      </c>
      <c r="D197" s="2" t="s">
        <v>87</v>
      </c>
      <c r="E197" s="2" t="s">
        <v>5</v>
      </c>
      <c r="F197" s="2" t="s">
        <v>9</v>
      </c>
      <c r="G197" s="2">
        <v>5</v>
      </c>
      <c r="H197" s="3">
        <v>741.6</v>
      </c>
      <c r="I197" s="4">
        <v>0.2</v>
      </c>
      <c r="J197" s="3">
        <v>39</v>
      </c>
      <c r="K197" s="7">
        <f t="shared" si="3"/>
        <v>632.28000000000009</v>
      </c>
      <c r="L197" s="2" t="s">
        <v>16</v>
      </c>
      <c r="M197" s="2" t="s">
        <v>91</v>
      </c>
      <c r="N197" s="2" t="s">
        <v>13</v>
      </c>
      <c r="O197" s="2">
        <v>94</v>
      </c>
      <c r="P197" s="2">
        <v>3</v>
      </c>
      <c r="Q197" s="2" t="str">
        <f>TEXT(tblOrders[[#This Row],[Order Date]],"mmm-yyyy")</f>
        <v>Jun-2026</v>
      </c>
      <c r="R197" s="3">
        <f>IF(N197="Cancelled",0,H197*INDEX(Assumptions!$C$7:$C$12,MATCH(F197,Assumptions!$B$7:$B$12,0)))</f>
        <v>333.72</v>
      </c>
      <c r="S197" s="3">
        <f>IF(N197="Cancelled",Assumptions!$C$19,IF(N197="Returned",Assumptions!$C$17+O197*Assumptions!$C$18+Assumptions!$C$20,Assumptions!$C$17+O197*Assumptions!$C$18))</f>
        <v>53.2</v>
      </c>
      <c r="T197" s="3">
        <f>R197+S197</f>
        <v>386.92</v>
      </c>
      <c r="U197" s="7">
        <f>K197-T197</f>
        <v>245.36000000000007</v>
      </c>
      <c r="V197" s="7">
        <f>IF(U197&gt;0,U197,0)</f>
        <v>245.36000000000007</v>
      </c>
      <c r="W197" s="5">
        <f>IF(U197&gt;0,U197/H197,0)</f>
        <v>0.33085221143473581</v>
      </c>
      <c r="X197" s="7">
        <f>IF(U197&lt;0,-U197,0)</f>
        <v>0</v>
      </c>
      <c r="Y197" s="5">
        <f>IF(U197&lt;0,-U197/H197,0)</f>
        <v>0</v>
      </c>
      <c r="Z197" s="2" t="str">
        <f>IF(U197&gt;=0,"Profitable",IF(N197="Cancelled","Order Cancelled",IF(N197="Returned","Order Returned",IF(AND(I197&gt;=0.15,U197&lt;0),"High Discount",IF(S197&gt;H197,"Delivery Cost Exceeded Order Value","Low Order Value / Thin Margin")))))</f>
        <v>Profitable</v>
      </c>
    </row>
    <row r="198" spans="1:26" x14ac:dyDescent="0.3">
      <c r="A198" s="2" t="s">
        <v>456</v>
      </c>
      <c r="B198" s="6">
        <v>46178.813194444498</v>
      </c>
      <c r="C198" s="2" t="s">
        <v>457</v>
      </c>
      <c r="D198" s="2" t="s">
        <v>73</v>
      </c>
      <c r="E198" s="2" t="s">
        <v>5</v>
      </c>
      <c r="F198" s="2" t="s">
        <v>10</v>
      </c>
      <c r="G198" s="2">
        <v>2</v>
      </c>
      <c r="H198" s="3">
        <v>942.03</v>
      </c>
      <c r="I198" s="4">
        <v>0</v>
      </c>
      <c r="J198" s="3">
        <v>39</v>
      </c>
      <c r="K198" s="7">
        <f t="shared" si="3"/>
        <v>981.03</v>
      </c>
      <c r="L198" s="2" t="s">
        <v>16</v>
      </c>
      <c r="M198" s="2" t="s">
        <v>110</v>
      </c>
      <c r="N198" s="2" t="s">
        <v>13</v>
      </c>
      <c r="O198" s="2">
        <v>35</v>
      </c>
      <c r="P198" s="2">
        <v>5</v>
      </c>
      <c r="Q198" s="2" t="str">
        <f>TEXT(tblOrders[[#This Row],[Order Date]],"mmm-yyyy")</f>
        <v>Jun-2026</v>
      </c>
      <c r="R198" s="3">
        <f>IF(N198="Cancelled",0,H198*INDEX(Assumptions!$C$7:$C$12,MATCH(F198,Assumptions!$B$7:$B$12,0)))</f>
        <v>659.42099999999994</v>
      </c>
      <c r="S198" s="3">
        <f>IF(N198="Cancelled",Assumptions!$C$19,IF(N198="Returned",Assumptions!$C$17+O198*Assumptions!$C$18+Assumptions!$C$20,Assumptions!$C$17+O198*Assumptions!$C$18))</f>
        <v>35.5</v>
      </c>
      <c r="T198" s="3">
        <f>R198+S198</f>
        <v>694.92099999999994</v>
      </c>
      <c r="U198" s="7">
        <f>K198-T198</f>
        <v>286.10900000000004</v>
      </c>
      <c r="V198" s="7">
        <f>IF(U198&gt;0,U198,0)</f>
        <v>286.10900000000004</v>
      </c>
      <c r="W198" s="5">
        <f>IF(U198&gt;0,U198/H198,0)</f>
        <v>0.30371538061420555</v>
      </c>
      <c r="X198" s="7">
        <f>IF(U198&lt;0,-U198,0)</f>
        <v>0</v>
      </c>
      <c r="Y198" s="5">
        <f>IF(U198&lt;0,-U198/H198,0)</f>
        <v>0</v>
      </c>
      <c r="Z198" s="2" t="str">
        <f>IF(U198&gt;=0,"Profitable",IF(N198="Cancelled","Order Cancelled",IF(N198="Returned","Order Returned",IF(AND(I198&gt;=0.15,U198&lt;0),"High Discount",IF(S198&gt;H198,"Delivery Cost Exceeded Order Value","Low Order Value / Thin Margin")))))</f>
        <v>Profitable</v>
      </c>
    </row>
    <row r="199" spans="1:26" x14ac:dyDescent="0.3">
      <c r="A199" s="2" t="s">
        <v>458</v>
      </c>
      <c r="B199" s="6">
        <v>46178.945833333302</v>
      </c>
      <c r="C199" s="2" t="s">
        <v>399</v>
      </c>
      <c r="D199" s="2" t="s">
        <v>97</v>
      </c>
      <c r="E199" s="2" t="s">
        <v>3</v>
      </c>
      <c r="F199" s="2" t="s">
        <v>10</v>
      </c>
      <c r="G199" s="2">
        <v>2</v>
      </c>
      <c r="H199" s="3">
        <v>468.04</v>
      </c>
      <c r="I199" s="4">
        <v>0.2</v>
      </c>
      <c r="J199" s="3">
        <v>49</v>
      </c>
      <c r="K199" s="7">
        <f t="shared" si="3"/>
        <v>423.43200000000002</v>
      </c>
      <c r="L199" s="2" t="s">
        <v>18</v>
      </c>
      <c r="M199" s="2" t="s">
        <v>200</v>
      </c>
      <c r="N199" s="2" t="s">
        <v>13</v>
      </c>
      <c r="O199" s="2">
        <v>41</v>
      </c>
      <c r="P199" s="2">
        <v>3</v>
      </c>
      <c r="Q199" s="2" t="str">
        <f>TEXT(tblOrders[[#This Row],[Order Date]],"mmm-yyyy")</f>
        <v>Jun-2026</v>
      </c>
      <c r="R199" s="3">
        <f>IF(N199="Cancelled",0,H199*INDEX(Assumptions!$C$7:$C$12,MATCH(F199,Assumptions!$B$7:$B$12,0)))</f>
        <v>327.62799999999999</v>
      </c>
      <c r="S199" s="3">
        <f>IF(N199="Cancelled",Assumptions!$C$19,IF(N199="Returned",Assumptions!$C$17+O199*Assumptions!$C$18+Assumptions!$C$20,Assumptions!$C$17+O199*Assumptions!$C$18))</f>
        <v>37.299999999999997</v>
      </c>
      <c r="T199" s="3">
        <f>R199+S199</f>
        <v>364.928</v>
      </c>
      <c r="U199" s="7">
        <f>K199-T199</f>
        <v>58.504000000000019</v>
      </c>
      <c r="V199" s="7">
        <f>IF(U199&gt;0,U199,0)</f>
        <v>58.504000000000019</v>
      </c>
      <c r="W199" s="5">
        <f>IF(U199&gt;0,U199/H199,0)</f>
        <v>0.12499786343047606</v>
      </c>
      <c r="X199" s="7">
        <f>IF(U199&lt;0,-U199,0)</f>
        <v>0</v>
      </c>
      <c r="Y199" s="5">
        <f>IF(U199&lt;0,-U199/H199,0)</f>
        <v>0</v>
      </c>
      <c r="Z199" s="2" t="str">
        <f>IF(U199&gt;=0,"Profitable",IF(N199="Cancelled","Order Cancelled",IF(N199="Returned","Order Returned",IF(AND(I199&gt;=0.15,U199&lt;0),"High Discount",IF(S199&gt;H199,"Delivery Cost Exceeded Order Value","Low Order Value / Thin Margin")))))</f>
        <v>Profitable</v>
      </c>
    </row>
    <row r="200" spans="1:26" x14ac:dyDescent="0.3">
      <c r="A200" s="2" t="s">
        <v>459</v>
      </c>
      <c r="B200" s="6">
        <v>46179.4868055556</v>
      </c>
      <c r="C200" s="2" t="s">
        <v>460</v>
      </c>
      <c r="D200" s="2" t="s">
        <v>69</v>
      </c>
      <c r="E200" s="2" t="s">
        <v>5</v>
      </c>
      <c r="F200" s="2" t="s">
        <v>4</v>
      </c>
      <c r="G200" s="2">
        <v>6</v>
      </c>
      <c r="H200" s="3">
        <v>467.3</v>
      </c>
      <c r="I200" s="4">
        <v>0.05</v>
      </c>
      <c r="J200" s="3">
        <v>29</v>
      </c>
      <c r="K200" s="7">
        <f t="shared" si="3"/>
        <v>472.935</v>
      </c>
      <c r="L200" s="2" t="s">
        <v>16</v>
      </c>
      <c r="M200" s="2" t="s">
        <v>140</v>
      </c>
      <c r="N200" s="2" t="s">
        <v>13</v>
      </c>
      <c r="O200" s="2">
        <v>22</v>
      </c>
      <c r="P200" s="2">
        <v>4</v>
      </c>
      <c r="Q200" s="2" t="str">
        <f>TEXT(tblOrders[[#This Row],[Order Date]],"mmm-yyyy")</f>
        <v>Jun-2026</v>
      </c>
      <c r="R200" s="3">
        <f>IF(N200="Cancelled",0,H200*INDEX(Assumptions!$C$7:$C$12,MATCH(F200,Assumptions!$B$7:$B$12,0)))</f>
        <v>364.49400000000003</v>
      </c>
      <c r="S200" s="3">
        <f>IF(N200="Cancelled",Assumptions!$C$19,IF(N200="Returned",Assumptions!$C$17+O200*Assumptions!$C$18+Assumptions!$C$20,Assumptions!$C$17+O200*Assumptions!$C$18))</f>
        <v>31.6</v>
      </c>
      <c r="T200" s="3">
        <f>R200+S200</f>
        <v>396.09400000000005</v>
      </c>
      <c r="U200" s="7">
        <f>K200-T200</f>
        <v>76.840999999999951</v>
      </c>
      <c r="V200" s="7">
        <f>IF(U200&gt;0,U200,0)</f>
        <v>76.840999999999951</v>
      </c>
      <c r="W200" s="5">
        <f>IF(U200&gt;0,U200/H200,0)</f>
        <v>0.16443612240530697</v>
      </c>
      <c r="X200" s="7">
        <f>IF(U200&lt;0,-U200,0)</f>
        <v>0</v>
      </c>
      <c r="Y200" s="5">
        <f>IF(U200&lt;0,-U200/H200,0)</f>
        <v>0</v>
      </c>
      <c r="Z200" s="2" t="str">
        <f>IF(U200&gt;=0,"Profitable",IF(N200="Cancelled","Order Cancelled",IF(N200="Returned","Order Returned",IF(AND(I200&gt;=0.15,U200&lt;0),"High Discount",IF(S200&gt;H200,"Delivery Cost Exceeded Order Value","Low Order Value / Thin Margin")))))</f>
        <v>Profitable</v>
      </c>
    </row>
    <row r="201" spans="1:26" x14ac:dyDescent="0.3">
      <c r="A201" s="2" t="s">
        <v>461</v>
      </c>
      <c r="B201" s="6">
        <v>46180.365277777797</v>
      </c>
      <c r="C201" s="2" t="s">
        <v>462</v>
      </c>
      <c r="D201" s="2" t="s">
        <v>97</v>
      </c>
      <c r="E201" s="2" t="s">
        <v>5</v>
      </c>
      <c r="F201" s="2" t="s">
        <v>9</v>
      </c>
      <c r="G201" s="2">
        <v>5</v>
      </c>
      <c r="H201" s="3">
        <v>341.3</v>
      </c>
      <c r="I201" s="4">
        <v>0.15</v>
      </c>
      <c r="J201" s="3">
        <v>29</v>
      </c>
      <c r="K201" s="7">
        <f t="shared" si="3"/>
        <v>29</v>
      </c>
      <c r="L201" s="2" t="s">
        <v>14</v>
      </c>
      <c r="M201" s="2" t="s">
        <v>110</v>
      </c>
      <c r="N201" s="2" t="s">
        <v>17</v>
      </c>
      <c r="O201" s="2">
        <v>69</v>
      </c>
      <c r="P201" s="2">
        <v>2</v>
      </c>
      <c r="Q201" s="2" t="str">
        <f>TEXT(tblOrders[[#This Row],[Order Date]],"mmm-yyyy")</f>
        <v>Jun-2026</v>
      </c>
      <c r="R201" s="3">
        <f>IF(N201="Cancelled",0,H201*INDEX(Assumptions!$C$7:$C$12,MATCH(F201,Assumptions!$B$7:$B$12,0)))</f>
        <v>153.58500000000001</v>
      </c>
      <c r="S201" s="3">
        <f>IF(N201="Cancelled",Assumptions!$C$19,IF(N201="Returned",Assumptions!$C$17+O201*Assumptions!$C$18+Assumptions!$C$20,Assumptions!$C$17+O201*Assumptions!$C$18))</f>
        <v>65.7</v>
      </c>
      <c r="T201" s="3">
        <f>R201+S201</f>
        <v>219.28500000000003</v>
      </c>
      <c r="U201" s="7">
        <f>K201-T201</f>
        <v>-190.28500000000003</v>
      </c>
      <c r="V201" s="7">
        <f>IF(U201&gt;0,U201,0)</f>
        <v>0</v>
      </c>
      <c r="W201" s="5">
        <f>IF(U201&gt;0,U201/H201,0)</f>
        <v>0</v>
      </c>
      <c r="X201" s="7">
        <f>IF(U201&lt;0,-U201,0)</f>
        <v>190.28500000000003</v>
      </c>
      <c r="Y201" s="5">
        <f>IF(U201&lt;0,-U201/H201,0)</f>
        <v>0.55753003222970998</v>
      </c>
      <c r="Z201" s="2" t="str">
        <f>IF(U201&gt;=0,"Profitable",IF(N201="Cancelled","Order Cancelled",IF(N201="Returned","Order Returned",IF(AND(I201&gt;=0.15,U201&lt;0),"High Discount",IF(S201&gt;H201,"Delivery Cost Exceeded Order Value","Low Order Value / Thin Margin")))))</f>
        <v>Order Returned</v>
      </c>
    </row>
    <row r="202" spans="1:26" x14ac:dyDescent="0.3">
      <c r="A202" s="2" t="s">
        <v>463</v>
      </c>
      <c r="B202" s="6">
        <v>46183.547916666699</v>
      </c>
      <c r="C202" s="2" t="s">
        <v>464</v>
      </c>
      <c r="D202" s="2" t="s">
        <v>131</v>
      </c>
      <c r="E202" s="2" t="s">
        <v>3</v>
      </c>
      <c r="F202" s="2" t="s">
        <v>8</v>
      </c>
      <c r="G202" s="2">
        <v>6</v>
      </c>
      <c r="H202" s="3">
        <v>1420.44</v>
      </c>
      <c r="I202" s="4">
        <v>0</v>
      </c>
      <c r="J202" s="3">
        <v>0</v>
      </c>
      <c r="K202" s="7">
        <f t="shared" si="3"/>
        <v>1420.44</v>
      </c>
      <c r="L202" s="2" t="s">
        <v>14</v>
      </c>
      <c r="M202" s="2" t="s">
        <v>107</v>
      </c>
      <c r="N202" s="2" t="s">
        <v>13</v>
      </c>
      <c r="O202" s="2">
        <v>27</v>
      </c>
      <c r="P202" s="2">
        <v>4</v>
      </c>
      <c r="Q202" s="2" t="str">
        <f>TEXT(tblOrders[[#This Row],[Order Date]],"mmm-yyyy")</f>
        <v>Jun-2026</v>
      </c>
      <c r="R202" s="3">
        <f>IF(N202="Cancelled",0,H202*INDEX(Assumptions!$C$7:$C$12,MATCH(F202,Assumptions!$B$7:$B$12,0)))</f>
        <v>781.24200000000008</v>
      </c>
      <c r="S202" s="3">
        <f>IF(N202="Cancelled",Assumptions!$C$19,IF(N202="Returned",Assumptions!$C$17+O202*Assumptions!$C$18+Assumptions!$C$20,Assumptions!$C$17+O202*Assumptions!$C$18))</f>
        <v>33.1</v>
      </c>
      <c r="T202" s="3">
        <f>R202+S202</f>
        <v>814.3420000000001</v>
      </c>
      <c r="U202" s="7">
        <f>K202-T202</f>
        <v>606.09799999999996</v>
      </c>
      <c r="V202" s="7">
        <f>IF(U202&gt;0,U202,0)</f>
        <v>606.09799999999996</v>
      </c>
      <c r="W202" s="5">
        <f>IF(U202&gt;0,U202/H202,0)</f>
        <v>0.42669736138098047</v>
      </c>
      <c r="X202" s="7">
        <f>IF(U202&lt;0,-U202,0)</f>
        <v>0</v>
      </c>
      <c r="Y202" s="5">
        <f>IF(U202&lt;0,-U202/H202,0)</f>
        <v>0</v>
      </c>
      <c r="Z202" s="2" t="str">
        <f>IF(U202&gt;=0,"Profitable",IF(N202="Cancelled","Order Cancelled",IF(N202="Returned","Order Returned",IF(AND(I202&gt;=0.15,U202&lt;0),"High Discount",IF(S202&gt;H202,"Delivery Cost Exceeded Order Value","Low Order Value / Thin Margin")))))</f>
        <v>Profitable</v>
      </c>
    </row>
    <row r="203" spans="1:26" x14ac:dyDescent="0.3">
      <c r="A203" s="2" t="s">
        <v>465</v>
      </c>
      <c r="B203" s="6">
        <v>46183.6</v>
      </c>
      <c r="C203" s="2" t="s">
        <v>466</v>
      </c>
      <c r="D203" s="2" t="s">
        <v>131</v>
      </c>
      <c r="E203" s="2" t="s">
        <v>3</v>
      </c>
      <c r="F203" s="2" t="s">
        <v>8</v>
      </c>
      <c r="G203" s="2">
        <v>1</v>
      </c>
      <c r="H203" s="3">
        <v>1790.55</v>
      </c>
      <c r="I203" s="4">
        <v>0.15</v>
      </c>
      <c r="J203" s="3">
        <v>0</v>
      </c>
      <c r="K203" s="7">
        <f t="shared" si="3"/>
        <v>1521.9675</v>
      </c>
      <c r="L203" s="2" t="s">
        <v>18</v>
      </c>
      <c r="M203" s="2" t="s">
        <v>140</v>
      </c>
      <c r="N203" s="2" t="s">
        <v>13</v>
      </c>
      <c r="O203" s="2">
        <v>65</v>
      </c>
      <c r="P203" s="2">
        <v>4</v>
      </c>
      <c r="Q203" s="2" t="str">
        <f>TEXT(tblOrders[[#This Row],[Order Date]],"mmm-yyyy")</f>
        <v>Jun-2026</v>
      </c>
      <c r="R203" s="3">
        <f>IF(N203="Cancelled",0,H203*INDEX(Assumptions!$C$7:$C$12,MATCH(F203,Assumptions!$B$7:$B$12,0)))</f>
        <v>984.80250000000001</v>
      </c>
      <c r="S203" s="3">
        <f>IF(N203="Cancelled",Assumptions!$C$19,IF(N203="Returned",Assumptions!$C$17+O203*Assumptions!$C$18+Assumptions!$C$20,Assumptions!$C$17+O203*Assumptions!$C$18))</f>
        <v>44.5</v>
      </c>
      <c r="T203" s="3">
        <f>R203+S203</f>
        <v>1029.3025</v>
      </c>
      <c r="U203" s="7">
        <f>K203-T203</f>
        <v>492.66499999999996</v>
      </c>
      <c r="V203" s="7">
        <f>IF(U203&gt;0,U203,0)</f>
        <v>492.66499999999996</v>
      </c>
      <c r="W203" s="5">
        <f>IF(U203&gt;0,U203/H203,0)</f>
        <v>0.27514730110859792</v>
      </c>
      <c r="X203" s="7">
        <f>IF(U203&lt;0,-U203,0)</f>
        <v>0</v>
      </c>
      <c r="Y203" s="5">
        <f>IF(U203&lt;0,-U203/H203,0)</f>
        <v>0</v>
      </c>
      <c r="Z203" s="2" t="str">
        <f>IF(U203&gt;=0,"Profitable",IF(N203="Cancelled","Order Cancelled",IF(N203="Returned","Order Returned",IF(AND(I203&gt;=0.15,U203&lt;0),"High Discount",IF(S203&gt;H203,"Delivery Cost Exceeded Order Value","Low Order Value / Thin Margin")))))</f>
        <v>Profitable</v>
      </c>
    </row>
    <row r="204" spans="1:26" x14ac:dyDescent="0.3">
      <c r="A204" s="2" t="s">
        <v>467</v>
      </c>
      <c r="B204" s="6">
        <v>46183.797916666699</v>
      </c>
      <c r="C204" s="2" t="s">
        <v>442</v>
      </c>
      <c r="D204" s="2" t="s">
        <v>87</v>
      </c>
      <c r="E204" s="2" t="s">
        <v>3</v>
      </c>
      <c r="F204" s="2" t="s">
        <v>11</v>
      </c>
      <c r="G204" s="2">
        <v>4</v>
      </c>
      <c r="H204" s="3">
        <v>5187.78</v>
      </c>
      <c r="I204" s="4">
        <v>0</v>
      </c>
      <c r="J204" s="3">
        <v>0</v>
      </c>
      <c r="K204" s="7">
        <f t="shared" si="3"/>
        <v>5187.78</v>
      </c>
      <c r="L204" s="2" t="s">
        <v>14</v>
      </c>
      <c r="M204" s="2" t="s">
        <v>175</v>
      </c>
      <c r="N204" s="2" t="s">
        <v>13</v>
      </c>
      <c r="O204" s="2">
        <v>33</v>
      </c>
      <c r="P204" s="2">
        <v>5</v>
      </c>
      <c r="Q204" s="2" t="str">
        <f>TEXT(tblOrders[[#This Row],[Order Date]],"mmm-yyyy")</f>
        <v>Jun-2026</v>
      </c>
      <c r="R204" s="3">
        <f>IF(N204="Cancelled",0,H204*INDEX(Assumptions!$C$7:$C$12,MATCH(F204,Assumptions!$B$7:$B$12,0)))</f>
        <v>3372.0569999999998</v>
      </c>
      <c r="S204" s="3">
        <f>IF(N204="Cancelled",Assumptions!$C$19,IF(N204="Returned",Assumptions!$C$17+O204*Assumptions!$C$18+Assumptions!$C$20,Assumptions!$C$17+O204*Assumptions!$C$18))</f>
        <v>34.9</v>
      </c>
      <c r="T204" s="3">
        <f>R204+S204</f>
        <v>3406.9569999999999</v>
      </c>
      <c r="U204" s="7">
        <f>K204-T204</f>
        <v>1780.8229999999999</v>
      </c>
      <c r="V204" s="7">
        <f>IF(U204&gt;0,U204,0)</f>
        <v>1780.8229999999999</v>
      </c>
      <c r="W204" s="5">
        <f>IF(U204&gt;0,U204/H204,0)</f>
        <v>0.34327265227129911</v>
      </c>
      <c r="X204" s="7">
        <f>IF(U204&lt;0,-U204,0)</f>
        <v>0</v>
      </c>
      <c r="Y204" s="5">
        <f>IF(U204&lt;0,-U204/H204,0)</f>
        <v>0</v>
      </c>
      <c r="Z204" s="2" t="str">
        <f>IF(U204&gt;=0,"Profitable",IF(N204="Cancelled","Order Cancelled",IF(N204="Returned","Order Returned",IF(AND(I204&gt;=0.15,U204&lt;0),"High Discount",IF(S204&gt;H204,"Delivery Cost Exceeded Order Value","Low Order Value / Thin Margin")))))</f>
        <v>Profitable</v>
      </c>
    </row>
    <row r="205" spans="1:26" x14ac:dyDescent="0.3">
      <c r="A205" s="2" t="s">
        <v>468</v>
      </c>
      <c r="B205" s="6">
        <v>46185.620138888902</v>
      </c>
      <c r="C205" s="2" t="s">
        <v>84</v>
      </c>
      <c r="D205" s="2" t="s">
        <v>97</v>
      </c>
      <c r="E205" s="2" t="s">
        <v>3</v>
      </c>
      <c r="F205" s="2" t="s">
        <v>6</v>
      </c>
      <c r="G205" s="2">
        <v>2</v>
      </c>
      <c r="H205" s="3">
        <v>9847.01</v>
      </c>
      <c r="I205" s="4">
        <v>0</v>
      </c>
      <c r="J205" s="3">
        <v>0</v>
      </c>
      <c r="K205" s="7">
        <f t="shared" si="3"/>
        <v>9847.01</v>
      </c>
      <c r="L205" s="2" t="s">
        <v>16</v>
      </c>
      <c r="M205" s="2" t="s">
        <v>149</v>
      </c>
      <c r="N205" s="2" t="s">
        <v>13</v>
      </c>
      <c r="O205" s="2">
        <v>88</v>
      </c>
      <c r="P205" s="2">
        <v>5</v>
      </c>
      <c r="Q205" s="2" t="str">
        <f>TEXT(tblOrders[[#This Row],[Order Date]],"mmm-yyyy")</f>
        <v>Jun-2026</v>
      </c>
      <c r="R205" s="3">
        <f>IF(N205="Cancelled",0,H205*INDEX(Assumptions!$C$7:$C$12,MATCH(F205,Assumptions!$B$7:$B$12,0)))</f>
        <v>8665.3688000000002</v>
      </c>
      <c r="S205" s="3">
        <f>IF(N205="Cancelled",Assumptions!$C$19,IF(N205="Returned",Assumptions!$C$17+O205*Assumptions!$C$18+Assumptions!$C$20,Assumptions!$C$17+O205*Assumptions!$C$18))</f>
        <v>51.4</v>
      </c>
      <c r="T205" s="3">
        <f>R205+S205</f>
        <v>8716.7687999999998</v>
      </c>
      <c r="U205" s="7">
        <f>K205-T205</f>
        <v>1130.2412000000004</v>
      </c>
      <c r="V205" s="7">
        <f>IF(U205&gt;0,U205,0)</f>
        <v>1130.2412000000004</v>
      </c>
      <c r="W205" s="5">
        <f>IF(U205&gt;0,U205/H205,0)</f>
        <v>0.11478014138301884</v>
      </c>
      <c r="X205" s="7">
        <f>IF(U205&lt;0,-U205,0)</f>
        <v>0</v>
      </c>
      <c r="Y205" s="5">
        <f>IF(U205&lt;0,-U205/H205,0)</f>
        <v>0</v>
      </c>
      <c r="Z205" s="2" t="str">
        <f>IF(U205&gt;=0,"Profitable",IF(N205="Cancelled","Order Cancelled",IF(N205="Returned","Order Returned",IF(AND(I205&gt;=0.15,U205&lt;0),"High Discount",IF(S205&gt;H205,"Delivery Cost Exceeded Order Value","Low Order Value / Thin Margin")))))</f>
        <v>Profitable</v>
      </c>
    </row>
    <row r="206" spans="1:26" x14ac:dyDescent="0.3">
      <c r="A206" s="2" t="s">
        <v>469</v>
      </c>
      <c r="B206" s="6">
        <v>46187.546527777798</v>
      </c>
      <c r="C206" s="2" t="s">
        <v>470</v>
      </c>
      <c r="D206" s="2" t="s">
        <v>69</v>
      </c>
      <c r="E206" s="2" t="s">
        <v>3</v>
      </c>
      <c r="F206" s="2" t="s">
        <v>6</v>
      </c>
      <c r="G206" s="2">
        <v>1</v>
      </c>
      <c r="H206" s="3">
        <v>14344.19</v>
      </c>
      <c r="I206" s="4">
        <v>0.15</v>
      </c>
      <c r="J206" s="3">
        <v>0</v>
      </c>
      <c r="K206" s="7">
        <f t="shared" si="3"/>
        <v>0</v>
      </c>
      <c r="L206" s="2" t="s">
        <v>18</v>
      </c>
      <c r="M206" s="2" t="s">
        <v>110</v>
      </c>
      <c r="N206" s="2" t="s">
        <v>17</v>
      </c>
      <c r="O206" s="2">
        <v>40</v>
      </c>
      <c r="P206" s="2">
        <v>3</v>
      </c>
      <c r="Q206" s="2" t="str">
        <f>TEXT(tblOrders[[#This Row],[Order Date]],"mmm-yyyy")</f>
        <v>Jun-2026</v>
      </c>
      <c r="R206" s="3">
        <f>IF(N206="Cancelled",0,H206*INDEX(Assumptions!$C$7:$C$12,MATCH(F206,Assumptions!$B$7:$B$12,0)))</f>
        <v>12622.887200000001</v>
      </c>
      <c r="S206" s="3">
        <f>IF(N206="Cancelled",Assumptions!$C$19,IF(N206="Returned",Assumptions!$C$17+O206*Assumptions!$C$18+Assumptions!$C$20,Assumptions!$C$17+O206*Assumptions!$C$18))</f>
        <v>57</v>
      </c>
      <c r="T206" s="3">
        <f>R206+S206</f>
        <v>12679.887200000001</v>
      </c>
      <c r="U206" s="7">
        <f>K206-T206</f>
        <v>-12679.887200000001</v>
      </c>
      <c r="V206" s="7">
        <f>IF(U206&gt;0,U206,0)</f>
        <v>0</v>
      </c>
      <c r="W206" s="5">
        <f>IF(U206&gt;0,U206/H206,0)</f>
        <v>0</v>
      </c>
      <c r="X206" s="7">
        <f>IF(U206&lt;0,-U206,0)</f>
        <v>12679.887200000001</v>
      </c>
      <c r="Y206" s="5">
        <f>IF(U206&lt;0,-U206/H206,0)</f>
        <v>0.88397373431333526</v>
      </c>
      <c r="Z206" s="2" t="str">
        <f>IF(U206&gt;=0,"Profitable",IF(N206="Cancelled","Order Cancelled",IF(N206="Returned","Order Returned",IF(AND(I206&gt;=0.15,U206&lt;0),"High Discount",IF(S206&gt;H206,"Delivery Cost Exceeded Order Value","Low Order Value / Thin Margin")))))</f>
        <v>Order Returned</v>
      </c>
    </row>
    <row r="207" spans="1:26" x14ac:dyDescent="0.3">
      <c r="A207" s="2" t="s">
        <v>471</v>
      </c>
      <c r="B207" s="6">
        <v>46189.492361111101</v>
      </c>
      <c r="C207" s="2" t="s">
        <v>472</v>
      </c>
      <c r="D207" s="2" t="s">
        <v>73</v>
      </c>
      <c r="E207" s="2" t="s">
        <v>3</v>
      </c>
      <c r="F207" s="2" t="s">
        <v>8</v>
      </c>
      <c r="G207" s="2">
        <v>1</v>
      </c>
      <c r="H207" s="3">
        <v>2142.7399999999998</v>
      </c>
      <c r="I207" s="4">
        <v>0.15</v>
      </c>
      <c r="J207" s="3">
        <v>0</v>
      </c>
      <c r="K207" s="7">
        <f t="shared" si="3"/>
        <v>1821.3289999999997</v>
      </c>
      <c r="L207" s="2" t="s">
        <v>18</v>
      </c>
      <c r="M207" s="2" t="s">
        <v>94</v>
      </c>
      <c r="N207" s="2" t="s">
        <v>13</v>
      </c>
      <c r="O207" s="2">
        <v>56</v>
      </c>
      <c r="P207" s="2">
        <v>4</v>
      </c>
      <c r="Q207" s="2" t="str">
        <f>TEXT(tblOrders[[#This Row],[Order Date]],"mmm-yyyy")</f>
        <v>Jun-2026</v>
      </c>
      <c r="R207" s="3">
        <f>IF(N207="Cancelled",0,H207*INDEX(Assumptions!$C$7:$C$12,MATCH(F207,Assumptions!$B$7:$B$12,0)))</f>
        <v>1178.5070000000001</v>
      </c>
      <c r="S207" s="3">
        <f>IF(N207="Cancelled",Assumptions!$C$19,IF(N207="Returned",Assumptions!$C$17+O207*Assumptions!$C$18+Assumptions!$C$20,Assumptions!$C$17+O207*Assumptions!$C$18))</f>
        <v>41.8</v>
      </c>
      <c r="T207" s="3">
        <f>R207+S207</f>
        <v>1220.307</v>
      </c>
      <c r="U207" s="7">
        <f>K207-T207</f>
        <v>601.02199999999971</v>
      </c>
      <c r="V207" s="7">
        <f>IF(U207&gt;0,U207,0)</f>
        <v>601.02199999999971</v>
      </c>
      <c r="W207" s="5">
        <f>IF(U207&gt;0,U207/H207,0)</f>
        <v>0.28049226691059098</v>
      </c>
      <c r="X207" s="7">
        <f>IF(U207&lt;0,-U207,0)</f>
        <v>0</v>
      </c>
      <c r="Y207" s="5">
        <f>IF(U207&lt;0,-U207/H207,0)</f>
        <v>0</v>
      </c>
      <c r="Z207" s="2" t="str">
        <f>IF(U207&gt;=0,"Profitable",IF(N207="Cancelled","Order Cancelled",IF(N207="Returned","Order Returned",IF(AND(I207&gt;=0.15,U207&lt;0),"High Discount",IF(S207&gt;H207,"Delivery Cost Exceeded Order Value","Low Order Value / Thin Margin")))))</f>
        <v>Profitable</v>
      </c>
    </row>
    <row r="208" spans="1:26" x14ac:dyDescent="0.3">
      <c r="A208" s="2" t="s">
        <v>473</v>
      </c>
      <c r="B208" s="6">
        <v>46189.510416666701</v>
      </c>
      <c r="C208" s="2" t="s">
        <v>474</v>
      </c>
      <c r="D208" s="2" t="s">
        <v>73</v>
      </c>
      <c r="E208" s="2" t="s">
        <v>3</v>
      </c>
      <c r="F208" s="2" t="s">
        <v>11</v>
      </c>
      <c r="G208" s="2">
        <v>2</v>
      </c>
      <c r="H208" s="3">
        <v>3094.45</v>
      </c>
      <c r="I208" s="4">
        <v>0.05</v>
      </c>
      <c r="J208" s="3">
        <v>0</v>
      </c>
      <c r="K208" s="7">
        <f t="shared" si="3"/>
        <v>2939.7274999999995</v>
      </c>
      <c r="L208" s="2" t="s">
        <v>14</v>
      </c>
      <c r="M208" s="2" t="s">
        <v>107</v>
      </c>
      <c r="N208" s="2" t="s">
        <v>13</v>
      </c>
      <c r="O208" s="2">
        <v>51</v>
      </c>
      <c r="P208" s="2">
        <v>5</v>
      </c>
      <c r="Q208" s="2" t="str">
        <f>TEXT(tblOrders[[#This Row],[Order Date]],"mmm-yyyy")</f>
        <v>Jun-2026</v>
      </c>
      <c r="R208" s="3">
        <f>IF(N208="Cancelled",0,H208*INDEX(Assumptions!$C$7:$C$12,MATCH(F208,Assumptions!$B$7:$B$12,0)))</f>
        <v>2011.3924999999999</v>
      </c>
      <c r="S208" s="3">
        <f>IF(N208="Cancelled",Assumptions!$C$19,IF(N208="Returned",Assumptions!$C$17+O208*Assumptions!$C$18+Assumptions!$C$20,Assumptions!$C$17+O208*Assumptions!$C$18))</f>
        <v>40.299999999999997</v>
      </c>
      <c r="T208" s="3">
        <f>R208+S208</f>
        <v>2051.6925000000001</v>
      </c>
      <c r="U208" s="7">
        <f>K208-T208</f>
        <v>888.0349999999994</v>
      </c>
      <c r="V208" s="7">
        <f>IF(U208&gt;0,U208,0)</f>
        <v>888.0349999999994</v>
      </c>
      <c r="W208" s="5">
        <f>IF(U208&gt;0,U208/H208,0)</f>
        <v>0.28697668406340365</v>
      </c>
      <c r="X208" s="7">
        <f>IF(U208&lt;0,-U208,0)</f>
        <v>0</v>
      </c>
      <c r="Y208" s="5">
        <f>IF(U208&lt;0,-U208/H208,0)</f>
        <v>0</v>
      </c>
      <c r="Z208" s="2" t="str">
        <f>IF(U208&gt;=0,"Profitable",IF(N208="Cancelled","Order Cancelled",IF(N208="Returned","Order Returned",IF(AND(I208&gt;=0.15,U208&lt;0),"High Discount",IF(S208&gt;H208,"Delivery Cost Exceeded Order Value","Low Order Value / Thin Margin")))))</f>
        <v>Profitable</v>
      </c>
    </row>
    <row r="209" spans="1:26" x14ac:dyDescent="0.3">
      <c r="A209" s="2" t="s">
        <v>475</v>
      </c>
      <c r="B209" s="6">
        <v>46191.898611111101</v>
      </c>
      <c r="C209" s="2" t="s">
        <v>395</v>
      </c>
      <c r="D209" s="2" t="s">
        <v>73</v>
      </c>
      <c r="E209" s="2" t="s">
        <v>3</v>
      </c>
      <c r="F209" s="2" t="s">
        <v>8</v>
      </c>
      <c r="G209" s="2">
        <v>5</v>
      </c>
      <c r="H209" s="3">
        <v>1638.58</v>
      </c>
      <c r="I209" s="4">
        <v>0.2</v>
      </c>
      <c r="J209" s="3">
        <v>0</v>
      </c>
      <c r="K209" s="7">
        <f t="shared" si="3"/>
        <v>1310.864</v>
      </c>
      <c r="L209" s="2" t="s">
        <v>19</v>
      </c>
      <c r="M209" s="2" t="s">
        <v>78</v>
      </c>
      <c r="N209" s="2" t="s">
        <v>13</v>
      </c>
      <c r="O209" s="2">
        <v>24</v>
      </c>
      <c r="P209" s="2">
        <v>3</v>
      </c>
      <c r="Q209" s="2" t="str">
        <f>TEXT(tblOrders[[#This Row],[Order Date]],"mmm-yyyy")</f>
        <v>Jun-2026</v>
      </c>
      <c r="R209" s="3">
        <f>IF(N209="Cancelled",0,H209*INDEX(Assumptions!$C$7:$C$12,MATCH(F209,Assumptions!$B$7:$B$12,0)))</f>
        <v>901.21900000000005</v>
      </c>
      <c r="S209" s="3">
        <f>IF(N209="Cancelled",Assumptions!$C$19,IF(N209="Returned",Assumptions!$C$17+O209*Assumptions!$C$18+Assumptions!$C$20,Assumptions!$C$17+O209*Assumptions!$C$18))</f>
        <v>32.200000000000003</v>
      </c>
      <c r="T209" s="3">
        <f>R209+S209</f>
        <v>933.4190000000001</v>
      </c>
      <c r="U209" s="7">
        <f>K209-T209</f>
        <v>377.44499999999994</v>
      </c>
      <c r="V209" s="7">
        <f>IF(U209&gt;0,U209,0)</f>
        <v>377.44499999999994</v>
      </c>
      <c r="W209" s="5">
        <f>IF(U209&gt;0,U209/H209,0)</f>
        <v>0.23034883862856861</v>
      </c>
      <c r="X209" s="7">
        <f>IF(U209&lt;0,-U209,0)</f>
        <v>0</v>
      </c>
      <c r="Y209" s="5">
        <f>IF(U209&lt;0,-U209/H209,0)</f>
        <v>0</v>
      </c>
      <c r="Z209" s="2" t="str">
        <f>IF(U209&gt;=0,"Profitable",IF(N209="Cancelled","Order Cancelled",IF(N209="Returned","Order Returned",IF(AND(I209&gt;=0.15,U209&lt;0),"High Discount",IF(S209&gt;H209,"Delivery Cost Exceeded Order Value","Low Order Value / Thin Margin")))))</f>
        <v>Profitable</v>
      </c>
    </row>
    <row r="210" spans="1:26" x14ac:dyDescent="0.3">
      <c r="A210" s="2" t="s">
        <v>476</v>
      </c>
      <c r="B210" s="6">
        <v>46192.5805555556</v>
      </c>
      <c r="C210" s="2" t="s">
        <v>340</v>
      </c>
      <c r="D210" s="2" t="s">
        <v>73</v>
      </c>
      <c r="E210" s="2" t="s">
        <v>3</v>
      </c>
      <c r="F210" s="2" t="s">
        <v>9</v>
      </c>
      <c r="G210" s="2">
        <v>4</v>
      </c>
      <c r="H210" s="3">
        <v>223.4</v>
      </c>
      <c r="I210" s="4">
        <v>0</v>
      </c>
      <c r="J210" s="3">
        <v>39</v>
      </c>
      <c r="K210" s="7">
        <f t="shared" si="3"/>
        <v>262.39999999999998</v>
      </c>
      <c r="L210" s="2" t="s">
        <v>19</v>
      </c>
      <c r="M210" s="2" t="s">
        <v>94</v>
      </c>
      <c r="N210" s="2" t="s">
        <v>13</v>
      </c>
      <c r="O210" s="2">
        <v>64</v>
      </c>
      <c r="P210" s="2">
        <v>5</v>
      </c>
      <c r="Q210" s="2" t="str">
        <f>TEXT(tblOrders[[#This Row],[Order Date]],"mmm-yyyy")</f>
        <v>Jun-2026</v>
      </c>
      <c r="R210" s="3">
        <f>IF(N210="Cancelled",0,H210*INDEX(Assumptions!$C$7:$C$12,MATCH(F210,Assumptions!$B$7:$B$12,0)))</f>
        <v>100.53</v>
      </c>
      <c r="S210" s="3">
        <f>IF(N210="Cancelled",Assumptions!$C$19,IF(N210="Returned",Assumptions!$C$17+O210*Assumptions!$C$18+Assumptions!$C$20,Assumptions!$C$17+O210*Assumptions!$C$18))</f>
        <v>44.2</v>
      </c>
      <c r="T210" s="3">
        <f t="shared" ref="T210:T220" si="4">R210+S210</f>
        <v>144.73000000000002</v>
      </c>
      <c r="U210" s="7">
        <f t="shared" ref="U210:U220" si="5">K210-T210</f>
        <v>117.66999999999996</v>
      </c>
      <c r="V210" s="7">
        <f t="shared" ref="V210:V220" si="6">IF(U210&gt;0,U210,0)</f>
        <v>117.66999999999996</v>
      </c>
      <c r="W210" s="5">
        <f t="shared" ref="W210:W220" si="7">IF(U210&gt;0,U210/H210,0)</f>
        <v>0.52672336615935522</v>
      </c>
      <c r="X210" s="7">
        <f t="shared" ref="X210:X220" si="8">IF(U210&lt;0,-U210,0)</f>
        <v>0</v>
      </c>
      <c r="Y210" s="5">
        <f t="shared" ref="Y210:Y220" si="9">IF(U210&lt;0,-U210/H210,0)</f>
        <v>0</v>
      </c>
      <c r="Z210" s="2" t="str">
        <f t="shared" ref="Z210:Z220" si="10">IF(U210&gt;=0,"Profitable",IF(N210="Cancelled","Order Cancelled",IF(N210="Returned","Order Returned",IF(AND(I210&gt;=0.15,U210&lt;0),"High Discount",IF(S210&gt;H210,"Delivery Cost Exceeded Order Value","Low Order Value / Thin Margin")))))</f>
        <v>Profitable</v>
      </c>
    </row>
    <row r="211" spans="1:26" x14ac:dyDescent="0.3">
      <c r="A211" s="2" t="s">
        <v>477</v>
      </c>
      <c r="B211" s="6">
        <v>46194.767361111102</v>
      </c>
      <c r="C211" s="2" t="s">
        <v>378</v>
      </c>
      <c r="D211" s="2" t="s">
        <v>87</v>
      </c>
      <c r="E211" s="2" t="s">
        <v>5</v>
      </c>
      <c r="F211" s="2" t="s">
        <v>6</v>
      </c>
      <c r="G211" s="2">
        <v>6</v>
      </c>
      <c r="H211" s="3">
        <v>3071.81</v>
      </c>
      <c r="I211" s="4">
        <v>0</v>
      </c>
      <c r="J211" s="3">
        <v>0</v>
      </c>
      <c r="K211" s="7">
        <f t="shared" si="3"/>
        <v>3071.81</v>
      </c>
      <c r="L211" s="2" t="s">
        <v>16</v>
      </c>
      <c r="M211" s="2" t="s">
        <v>74</v>
      </c>
      <c r="N211" s="2" t="s">
        <v>13</v>
      </c>
      <c r="O211" s="2">
        <v>74</v>
      </c>
      <c r="P211" s="2">
        <v>3</v>
      </c>
      <c r="Q211" s="2" t="str">
        <f>TEXT(tblOrders[[#This Row],[Order Date]],"mmm-yyyy")</f>
        <v>Jun-2026</v>
      </c>
      <c r="R211" s="3">
        <f>IF(N211="Cancelled",0,H211*INDEX(Assumptions!$C$7:$C$12,MATCH(F211,Assumptions!$B$7:$B$12,0)))</f>
        <v>2703.1927999999998</v>
      </c>
      <c r="S211" s="3">
        <f>IF(N211="Cancelled",Assumptions!$C$19,IF(N211="Returned",Assumptions!$C$17+O211*Assumptions!$C$18+Assumptions!$C$20,Assumptions!$C$17+O211*Assumptions!$C$18))</f>
        <v>47.2</v>
      </c>
      <c r="T211" s="3">
        <f t="shared" si="4"/>
        <v>2750.3927999999996</v>
      </c>
      <c r="U211" s="7">
        <f t="shared" si="5"/>
        <v>321.41720000000032</v>
      </c>
      <c r="V211" s="7">
        <f t="shared" si="6"/>
        <v>321.41720000000032</v>
      </c>
      <c r="W211" s="5">
        <f t="shared" si="7"/>
        <v>0.1046344663244147</v>
      </c>
      <c r="X211" s="7">
        <f t="shared" si="8"/>
        <v>0</v>
      </c>
      <c r="Y211" s="5">
        <f t="shared" si="9"/>
        <v>0</v>
      </c>
      <c r="Z211" s="2" t="str">
        <f t="shared" si="10"/>
        <v>Profitable</v>
      </c>
    </row>
    <row r="212" spans="1:26" x14ac:dyDescent="0.3">
      <c r="A212" s="2" t="s">
        <v>478</v>
      </c>
      <c r="B212" s="6">
        <v>46195.430555555598</v>
      </c>
      <c r="C212" s="2" t="s">
        <v>479</v>
      </c>
      <c r="D212" s="2" t="s">
        <v>81</v>
      </c>
      <c r="E212" s="2" t="s">
        <v>3</v>
      </c>
      <c r="F212" s="2" t="s">
        <v>4</v>
      </c>
      <c r="G212" s="2">
        <v>2</v>
      </c>
      <c r="H212" s="3">
        <v>541.97</v>
      </c>
      <c r="I212" s="4">
        <v>0</v>
      </c>
      <c r="J212" s="3">
        <v>59</v>
      </c>
      <c r="K212" s="7">
        <f t="shared" si="3"/>
        <v>600.97</v>
      </c>
      <c r="L212" s="2" t="s">
        <v>19</v>
      </c>
      <c r="M212" s="2" t="s">
        <v>149</v>
      </c>
      <c r="N212" s="2" t="s">
        <v>13</v>
      </c>
      <c r="O212" s="2">
        <v>91</v>
      </c>
      <c r="P212" s="2">
        <v>4</v>
      </c>
      <c r="Q212" s="2" t="str">
        <f>TEXT(tblOrders[[#This Row],[Order Date]],"mmm-yyyy")</f>
        <v>Jun-2026</v>
      </c>
      <c r="R212" s="3">
        <f>IF(N212="Cancelled",0,H212*INDEX(Assumptions!$C$7:$C$12,MATCH(F212,Assumptions!$B$7:$B$12,0)))</f>
        <v>422.73660000000001</v>
      </c>
      <c r="S212" s="3">
        <f>IF(N212="Cancelled",Assumptions!$C$19,IF(N212="Returned",Assumptions!$C$17+O212*Assumptions!$C$18+Assumptions!$C$20,Assumptions!$C$17+O212*Assumptions!$C$18))</f>
        <v>52.3</v>
      </c>
      <c r="T212" s="3">
        <f t="shared" si="4"/>
        <v>475.03660000000002</v>
      </c>
      <c r="U212" s="7">
        <f t="shared" si="5"/>
        <v>125.93340000000001</v>
      </c>
      <c r="V212" s="7">
        <f t="shared" si="6"/>
        <v>125.93340000000001</v>
      </c>
      <c r="W212" s="5">
        <f t="shared" si="7"/>
        <v>0.23236230787681975</v>
      </c>
      <c r="X212" s="7">
        <f t="shared" si="8"/>
        <v>0</v>
      </c>
      <c r="Y212" s="5">
        <f t="shared" si="9"/>
        <v>0</v>
      </c>
      <c r="Z212" s="2" t="str">
        <f t="shared" si="10"/>
        <v>Profitable</v>
      </c>
    </row>
    <row r="213" spans="1:26" x14ac:dyDescent="0.3">
      <c r="A213" s="2" t="s">
        <v>480</v>
      </c>
      <c r="B213" s="6">
        <v>46196.898611111101</v>
      </c>
      <c r="C213" s="2" t="s">
        <v>450</v>
      </c>
      <c r="D213" s="2" t="s">
        <v>97</v>
      </c>
      <c r="E213" s="2" t="s">
        <v>3</v>
      </c>
      <c r="F213" s="2" t="s">
        <v>6</v>
      </c>
      <c r="G213" s="2">
        <v>3</v>
      </c>
      <c r="H213" s="3">
        <v>3335.66</v>
      </c>
      <c r="I213" s="4">
        <v>0</v>
      </c>
      <c r="J213" s="3">
        <v>0</v>
      </c>
      <c r="K213" s="7">
        <f t="shared" si="3"/>
        <v>3335.66</v>
      </c>
      <c r="L213" s="2" t="s">
        <v>14</v>
      </c>
      <c r="M213" s="2" t="s">
        <v>88</v>
      </c>
      <c r="N213" s="2" t="s">
        <v>13</v>
      </c>
      <c r="O213" s="2">
        <v>73</v>
      </c>
      <c r="P213" s="2">
        <v>4</v>
      </c>
      <c r="Q213" s="2" t="str">
        <f>TEXT(tblOrders[[#This Row],[Order Date]],"mmm-yyyy")</f>
        <v>Jun-2026</v>
      </c>
      <c r="R213" s="3">
        <f>IF(N213="Cancelled",0,H213*INDEX(Assumptions!$C$7:$C$12,MATCH(F213,Assumptions!$B$7:$B$12,0)))</f>
        <v>2935.3807999999999</v>
      </c>
      <c r="S213" s="3">
        <f>IF(N213="Cancelled",Assumptions!$C$19,IF(N213="Returned",Assumptions!$C$17+O213*Assumptions!$C$18+Assumptions!$C$20,Assumptions!$C$17+O213*Assumptions!$C$18))</f>
        <v>46.9</v>
      </c>
      <c r="T213" s="3">
        <f t="shared" si="4"/>
        <v>2982.2808</v>
      </c>
      <c r="U213" s="7">
        <f t="shared" si="5"/>
        <v>353.37919999999986</v>
      </c>
      <c r="V213" s="7">
        <f t="shared" si="6"/>
        <v>353.37919999999986</v>
      </c>
      <c r="W213" s="5">
        <f t="shared" si="7"/>
        <v>0.10593981400982111</v>
      </c>
      <c r="X213" s="7">
        <f t="shared" si="8"/>
        <v>0</v>
      </c>
      <c r="Y213" s="5">
        <f t="shared" si="9"/>
        <v>0</v>
      </c>
      <c r="Z213" s="2" t="str">
        <f t="shared" si="10"/>
        <v>Profitable</v>
      </c>
    </row>
    <row r="214" spans="1:26" x14ac:dyDescent="0.3">
      <c r="A214" s="2" t="s">
        <v>481</v>
      </c>
      <c r="B214" s="6">
        <v>46197.487500000003</v>
      </c>
      <c r="C214" s="2" t="s">
        <v>482</v>
      </c>
      <c r="D214" s="2" t="s">
        <v>81</v>
      </c>
      <c r="E214" s="2" t="s">
        <v>5</v>
      </c>
      <c r="F214" s="2" t="s">
        <v>4</v>
      </c>
      <c r="G214" s="2">
        <v>4</v>
      </c>
      <c r="H214" s="3">
        <v>1172.53</v>
      </c>
      <c r="I214" s="4">
        <v>0.15</v>
      </c>
      <c r="J214" s="3">
        <v>0</v>
      </c>
      <c r="K214" s="7">
        <f t="shared" si="3"/>
        <v>0</v>
      </c>
      <c r="L214" s="2" t="s">
        <v>16</v>
      </c>
      <c r="M214" s="2" t="s">
        <v>94</v>
      </c>
      <c r="N214" s="2" t="s">
        <v>15</v>
      </c>
      <c r="O214" s="2"/>
      <c r="P214" s="2"/>
      <c r="Q214" s="2" t="str">
        <f>TEXT(tblOrders[[#This Row],[Order Date]],"mmm-yyyy")</f>
        <v>Jun-2026</v>
      </c>
      <c r="R214" s="3">
        <f>IF(N214="Cancelled",0,H214*INDEX(Assumptions!$C$7:$C$12,MATCH(F214,Assumptions!$B$7:$B$12,0)))</f>
        <v>0</v>
      </c>
      <c r="S214" s="3">
        <f>IF(N214="Cancelled",Assumptions!$C$19,IF(N214="Returned",Assumptions!$C$17+O214*Assumptions!$C$18+Assumptions!$C$20,Assumptions!$C$17+O214*Assumptions!$C$18))</f>
        <v>15</v>
      </c>
      <c r="T214" s="3">
        <f t="shared" si="4"/>
        <v>15</v>
      </c>
      <c r="U214" s="7">
        <f t="shared" si="5"/>
        <v>-15</v>
      </c>
      <c r="V214" s="7">
        <f t="shared" si="6"/>
        <v>0</v>
      </c>
      <c r="W214" s="5">
        <f t="shared" si="7"/>
        <v>0</v>
      </c>
      <c r="X214" s="7">
        <f t="shared" si="8"/>
        <v>15</v>
      </c>
      <c r="Y214" s="5">
        <f t="shared" si="9"/>
        <v>1.2792849649902347E-2</v>
      </c>
      <c r="Z214" s="2" t="str">
        <f t="shared" si="10"/>
        <v>Order Cancelled</v>
      </c>
    </row>
    <row r="215" spans="1:26" x14ac:dyDescent="0.3">
      <c r="A215" s="2" t="s">
        <v>483</v>
      </c>
      <c r="B215" s="6">
        <v>46198.590277777803</v>
      </c>
      <c r="C215" s="2" t="s">
        <v>106</v>
      </c>
      <c r="D215" s="2" t="s">
        <v>77</v>
      </c>
      <c r="E215" s="2" t="s">
        <v>3</v>
      </c>
      <c r="F215" s="2" t="s">
        <v>4</v>
      </c>
      <c r="G215" s="2">
        <v>4</v>
      </c>
      <c r="H215" s="3">
        <v>303.23</v>
      </c>
      <c r="I215" s="4">
        <v>0</v>
      </c>
      <c r="J215" s="3">
        <v>59</v>
      </c>
      <c r="K215" s="7">
        <f t="shared" si="3"/>
        <v>362.23</v>
      </c>
      <c r="L215" s="2" t="s">
        <v>18</v>
      </c>
      <c r="M215" s="2" t="s">
        <v>146</v>
      </c>
      <c r="N215" s="2" t="s">
        <v>13</v>
      </c>
      <c r="O215" s="2">
        <v>79</v>
      </c>
      <c r="P215" s="2">
        <v>3</v>
      </c>
      <c r="Q215" s="2" t="str">
        <f>TEXT(tblOrders[[#This Row],[Order Date]],"mmm-yyyy")</f>
        <v>Jun-2026</v>
      </c>
      <c r="R215" s="3">
        <f>IF(N215="Cancelled",0,H215*INDEX(Assumptions!$C$7:$C$12,MATCH(F215,Assumptions!$B$7:$B$12,0)))</f>
        <v>236.51940000000002</v>
      </c>
      <c r="S215" s="3">
        <f>IF(N215="Cancelled",Assumptions!$C$19,IF(N215="Returned",Assumptions!$C$17+O215*Assumptions!$C$18+Assumptions!$C$20,Assumptions!$C$17+O215*Assumptions!$C$18))</f>
        <v>48.7</v>
      </c>
      <c r="T215" s="3">
        <f t="shared" si="4"/>
        <v>285.21940000000001</v>
      </c>
      <c r="U215" s="7">
        <f t="shared" si="5"/>
        <v>77.010600000000011</v>
      </c>
      <c r="V215" s="7">
        <f t="shared" si="6"/>
        <v>77.010600000000011</v>
      </c>
      <c r="W215" s="5">
        <f t="shared" si="7"/>
        <v>0.25396761534148998</v>
      </c>
      <c r="X215" s="7">
        <f t="shared" si="8"/>
        <v>0</v>
      </c>
      <c r="Y215" s="5">
        <f t="shared" si="9"/>
        <v>0</v>
      </c>
      <c r="Z215" s="2" t="str">
        <f t="shared" si="10"/>
        <v>Profitable</v>
      </c>
    </row>
    <row r="216" spans="1:26" x14ac:dyDescent="0.3">
      <c r="A216" s="2" t="s">
        <v>484</v>
      </c>
      <c r="B216" s="6">
        <v>46200.938194444498</v>
      </c>
      <c r="C216" s="2" t="s">
        <v>485</v>
      </c>
      <c r="D216" s="2" t="s">
        <v>73</v>
      </c>
      <c r="E216" s="2" t="s">
        <v>3</v>
      </c>
      <c r="F216" s="2" t="s">
        <v>4</v>
      </c>
      <c r="G216" s="2">
        <v>1</v>
      </c>
      <c r="H216" s="3">
        <v>624.64</v>
      </c>
      <c r="I216" s="4">
        <v>0.15</v>
      </c>
      <c r="J216" s="3">
        <v>59</v>
      </c>
      <c r="K216" s="7">
        <f t="shared" si="3"/>
        <v>589.94399999999996</v>
      </c>
      <c r="L216" s="2" t="s">
        <v>14</v>
      </c>
      <c r="M216" s="2" t="s">
        <v>146</v>
      </c>
      <c r="N216" s="2" t="s">
        <v>13</v>
      </c>
      <c r="O216" s="2">
        <v>58</v>
      </c>
      <c r="P216" s="2">
        <v>5</v>
      </c>
      <c r="Q216" s="2" t="str">
        <f>TEXT(tblOrders[[#This Row],[Order Date]],"mmm-yyyy")</f>
        <v>Jun-2026</v>
      </c>
      <c r="R216" s="3">
        <f>IF(N216="Cancelled",0,H216*INDEX(Assumptions!$C$7:$C$12,MATCH(F216,Assumptions!$B$7:$B$12,0)))</f>
        <v>487.2192</v>
      </c>
      <c r="S216" s="3">
        <f>IF(N216="Cancelled",Assumptions!$C$19,IF(N216="Returned",Assumptions!$C$17+O216*Assumptions!$C$18+Assumptions!$C$20,Assumptions!$C$17+O216*Assumptions!$C$18))</f>
        <v>42.4</v>
      </c>
      <c r="T216" s="3">
        <f t="shared" si="4"/>
        <v>529.61919999999998</v>
      </c>
      <c r="U216" s="7">
        <f t="shared" si="5"/>
        <v>60.324799999999982</v>
      </c>
      <c r="V216" s="7">
        <f t="shared" si="6"/>
        <v>60.324799999999982</v>
      </c>
      <c r="W216" s="5">
        <f t="shared" si="7"/>
        <v>9.6575307377049155E-2</v>
      </c>
      <c r="X216" s="7">
        <f t="shared" si="8"/>
        <v>0</v>
      </c>
      <c r="Y216" s="5">
        <f t="shared" si="9"/>
        <v>0</v>
      </c>
      <c r="Z216" s="2" t="str">
        <f t="shared" si="10"/>
        <v>Profitable</v>
      </c>
    </row>
    <row r="217" spans="1:26" x14ac:dyDescent="0.3">
      <c r="A217" s="2" t="s">
        <v>486</v>
      </c>
      <c r="B217" s="6">
        <v>46201.581944444399</v>
      </c>
      <c r="C217" s="2" t="s">
        <v>479</v>
      </c>
      <c r="D217" s="2" t="s">
        <v>131</v>
      </c>
      <c r="E217" s="2" t="s">
        <v>5</v>
      </c>
      <c r="F217" s="2" t="s">
        <v>9</v>
      </c>
      <c r="G217" s="2">
        <v>3</v>
      </c>
      <c r="H217" s="3">
        <v>858.05</v>
      </c>
      <c r="I217" s="4">
        <v>0.1</v>
      </c>
      <c r="J217" s="3">
        <v>39</v>
      </c>
      <c r="K217" s="7">
        <f t="shared" si="3"/>
        <v>811.245</v>
      </c>
      <c r="L217" s="2" t="s">
        <v>16</v>
      </c>
      <c r="M217" s="2" t="s">
        <v>70</v>
      </c>
      <c r="N217" s="2" t="s">
        <v>13</v>
      </c>
      <c r="O217" s="2">
        <v>81</v>
      </c>
      <c r="P217" s="2">
        <v>5</v>
      </c>
      <c r="Q217" s="2" t="str">
        <f>TEXT(tblOrders[[#This Row],[Order Date]],"mmm-yyyy")</f>
        <v>Jun-2026</v>
      </c>
      <c r="R217" s="3">
        <f>IF(N217="Cancelled",0,H217*INDEX(Assumptions!$C$7:$C$12,MATCH(F217,Assumptions!$B$7:$B$12,0)))</f>
        <v>386.1225</v>
      </c>
      <c r="S217" s="3">
        <f>IF(N217="Cancelled",Assumptions!$C$19,IF(N217="Returned",Assumptions!$C$17+O217*Assumptions!$C$18+Assumptions!$C$20,Assumptions!$C$17+O217*Assumptions!$C$18))</f>
        <v>49.3</v>
      </c>
      <c r="T217" s="3">
        <f t="shared" si="4"/>
        <v>435.42250000000001</v>
      </c>
      <c r="U217" s="7">
        <f t="shared" si="5"/>
        <v>375.82249999999999</v>
      </c>
      <c r="V217" s="7">
        <f t="shared" si="6"/>
        <v>375.82249999999999</v>
      </c>
      <c r="W217" s="5">
        <f t="shared" si="7"/>
        <v>0.43799603752695065</v>
      </c>
      <c r="X217" s="7">
        <f t="shared" si="8"/>
        <v>0</v>
      </c>
      <c r="Y217" s="5">
        <f t="shared" si="9"/>
        <v>0</v>
      </c>
      <c r="Z217" s="2" t="str">
        <f t="shared" si="10"/>
        <v>Profitable</v>
      </c>
    </row>
    <row r="218" spans="1:26" x14ac:dyDescent="0.3">
      <c r="A218" s="2" t="s">
        <v>487</v>
      </c>
      <c r="B218" s="6">
        <v>46201.601388888899</v>
      </c>
      <c r="C218" s="2" t="s">
        <v>488</v>
      </c>
      <c r="D218" s="2" t="s">
        <v>116</v>
      </c>
      <c r="E218" s="2" t="s">
        <v>3</v>
      </c>
      <c r="F218" s="2" t="s">
        <v>4</v>
      </c>
      <c r="G218" s="2">
        <v>5</v>
      </c>
      <c r="H218" s="3">
        <v>647.19000000000005</v>
      </c>
      <c r="I218" s="4">
        <v>0.2</v>
      </c>
      <c r="J218" s="3">
        <v>39</v>
      </c>
      <c r="K218" s="7">
        <f t="shared" si="3"/>
        <v>556.75200000000007</v>
      </c>
      <c r="L218" s="2" t="s">
        <v>18</v>
      </c>
      <c r="M218" s="2" t="s">
        <v>113</v>
      </c>
      <c r="N218" s="2" t="s">
        <v>13</v>
      </c>
      <c r="O218" s="2">
        <v>36</v>
      </c>
      <c r="P218" s="2">
        <v>4</v>
      </c>
      <c r="Q218" s="2" t="str">
        <f>TEXT(tblOrders[[#This Row],[Order Date]],"mmm-yyyy")</f>
        <v>Jun-2026</v>
      </c>
      <c r="R218" s="3">
        <f>IF(N218="Cancelled",0,H218*INDEX(Assumptions!$C$7:$C$12,MATCH(F218,Assumptions!$B$7:$B$12,0)))</f>
        <v>504.80820000000006</v>
      </c>
      <c r="S218" s="3">
        <f>IF(N218="Cancelled",Assumptions!$C$19,IF(N218="Returned",Assumptions!$C$17+O218*Assumptions!$C$18+Assumptions!$C$20,Assumptions!$C$17+O218*Assumptions!$C$18))</f>
        <v>35.799999999999997</v>
      </c>
      <c r="T218" s="3">
        <f t="shared" si="4"/>
        <v>540.60820000000001</v>
      </c>
      <c r="U218" s="7">
        <f t="shared" si="5"/>
        <v>16.143800000000056</v>
      </c>
      <c r="V218" s="7">
        <f t="shared" si="6"/>
        <v>16.143800000000056</v>
      </c>
      <c r="W218" s="5">
        <f t="shared" si="7"/>
        <v>2.4944452170151045E-2</v>
      </c>
      <c r="X218" s="7">
        <f t="shared" si="8"/>
        <v>0</v>
      </c>
      <c r="Y218" s="5">
        <f t="shared" si="9"/>
        <v>0</v>
      </c>
      <c r="Z218" s="2" t="str">
        <f t="shared" si="10"/>
        <v>Profitable</v>
      </c>
    </row>
    <row r="219" spans="1:26" x14ac:dyDescent="0.3">
      <c r="A219" s="2" t="s">
        <v>489</v>
      </c>
      <c r="B219" s="6">
        <v>46201.652777777803</v>
      </c>
      <c r="C219" s="2" t="s">
        <v>490</v>
      </c>
      <c r="D219" s="2" t="s">
        <v>116</v>
      </c>
      <c r="E219" s="2" t="s">
        <v>3</v>
      </c>
      <c r="F219" s="2" t="s">
        <v>4</v>
      </c>
      <c r="G219" s="2">
        <v>6</v>
      </c>
      <c r="H219" s="3">
        <v>965</v>
      </c>
      <c r="I219" s="4">
        <v>0.05</v>
      </c>
      <c r="J219" s="3">
        <v>29</v>
      </c>
      <c r="K219" s="7">
        <f t="shared" si="3"/>
        <v>945.75</v>
      </c>
      <c r="L219" s="2" t="s">
        <v>18</v>
      </c>
      <c r="M219" s="2" t="s">
        <v>88</v>
      </c>
      <c r="N219" s="2" t="s">
        <v>13</v>
      </c>
      <c r="O219" s="2">
        <v>43</v>
      </c>
      <c r="P219" s="2">
        <v>3</v>
      </c>
      <c r="Q219" s="2" t="str">
        <f>TEXT(tblOrders[[#This Row],[Order Date]],"mmm-yyyy")</f>
        <v>Jun-2026</v>
      </c>
      <c r="R219" s="3">
        <f>IF(N219="Cancelled",0,H219*INDEX(Assumptions!$C$7:$C$12,MATCH(F219,Assumptions!$B$7:$B$12,0)))</f>
        <v>752.7</v>
      </c>
      <c r="S219" s="3">
        <f>IF(N219="Cancelled",Assumptions!$C$19,IF(N219="Returned",Assumptions!$C$17+O219*Assumptions!$C$18+Assumptions!$C$20,Assumptions!$C$17+O219*Assumptions!$C$18))</f>
        <v>37.9</v>
      </c>
      <c r="T219" s="3">
        <f t="shared" si="4"/>
        <v>790.6</v>
      </c>
      <c r="U219" s="7">
        <f t="shared" si="5"/>
        <v>155.14999999999998</v>
      </c>
      <c r="V219" s="7">
        <f t="shared" si="6"/>
        <v>155.14999999999998</v>
      </c>
      <c r="W219" s="5">
        <f t="shared" si="7"/>
        <v>0.16077720207253884</v>
      </c>
      <c r="X219" s="7">
        <f t="shared" si="8"/>
        <v>0</v>
      </c>
      <c r="Y219" s="5">
        <f t="shared" si="9"/>
        <v>0</v>
      </c>
      <c r="Z219" s="2" t="str">
        <f t="shared" si="10"/>
        <v>Profitable</v>
      </c>
    </row>
    <row r="220" spans="1:26" x14ac:dyDescent="0.3">
      <c r="A220" s="2" t="s">
        <v>491</v>
      </c>
      <c r="B220" s="6">
        <v>46201.846527777801</v>
      </c>
      <c r="C220" s="2" t="s">
        <v>492</v>
      </c>
      <c r="D220" s="2" t="s">
        <v>87</v>
      </c>
      <c r="E220" s="2" t="s">
        <v>3</v>
      </c>
      <c r="F220" s="2" t="s">
        <v>10</v>
      </c>
      <c r="G220" s="2">
        <v>1</v>
      </c>
      <c r="H220" s="3">
        <v>1210.6400000000001</v>
      </c>
      <c r="I220" s="4">
        <v>0.1</v>
      </c>
      <c r="J220" s="3">
        <v>0</v>
      </c>
      <c r="K220" s="7">
        <f t="shared" si="3"/>
        <v>1089.576</v>
      </c>
      <c r="L220" s="2" t="s">
        <v>14</v>
      </c>
      <c r="M220" s="2" t="s">
        <v>146</v>
      </c>
      <c r="N220" s="2" t="s">
        <v>13</v>
      </c>
      <c r="O220" s="2">
        <v>72</v>
      </c>
      <c r="P220" s="2">
        <v>5</v>
      </c>
      <c r="Q220" s="2" t="str">
        <f>TEXT(tblOrders[[#This Row],[Order Date]],"mmm-yyyy")</f>
        <v>Jun-2026</v>
      </c>
      <c r="R220" s="3">
        <f>IF(N220="Cancelled",0,H220*INDEX(Assumptions!$C$7:$C$12,MATCH(F220,Assumptions!$B$7:$B$12,0)))</f>
        <v>847.44799999999998</v>
      </c>
      <c r="S220" s="3">
        <f>IF(N220="Cancelled",Assumptions!$C$19,IF(N220="Returned",Assumptions!$C$17+O220*Assumptions!$C$18+Assumptions!$C$20,Assumptions!$C$17+O220*Assumptions!$C$18))</f>
        <v>46.599999999999994</v>
      </c>
      <c r="T220" s="3">
        <f t="shared" si="4"/>
        <v>894.048</v>
      </c>
      <c r="U220" s="7">
        <f t="shared" si="5"/>
        <v>195.52800000000002</v>
      </c>
      <c r="V220" s="7">
        <f t="shared" si="6"/>
        <v>195.52800000000002</v>
      </c>
      <c r="W220" s="5">
        <f t="shared" si="7"/>
        <v>0.16150796273045662</v>
      </c>
      <c r="X220" s="7">
        <f t="shared" si="8"/>
        <v>0</v>
      </c>
      <c r="Y220" s="5">
        <f t="shared" si="9"/>
        <v>0</v>
      </c>
      <c r="Z220" s="2" t="str">
        <f t="shared" si="10"/>
        <v>Profitable</v>
      </c>
    </row>
    <row r="221" spans="1:26" x14ac:dyDescent="0.3">
      <c r="A221" s="2" t="s">
        <v>493</v>
      </c>
      <c r="B221" s="6">
        <v>46203.644444444399</v>
      </c>
      <c r="C221" s="2" t="s">
        <v>494</v>
      </c>
      <c r="D221" s="2" t="s">
        <v>69</v>
      </c>
      <c r="E221" s="2" t="s">
        <v>5</v>
      </c>
      <c r="F221" s="2" t="s">
        <v>9</v>
      </c>
      <c r="G221" s="2">
        <v>1</v>
      </c>
      <c r="H221" s="3">
        <v>304.74</v>
      </c>
      <c r="I221" s="4">
        <v>0.2</v>
      </c>
      <c r="J221" s="3">
        <v>39</v>
      </c>
      <c r="K221" s="7">
        <f t="shared" si="3"/>
        <v>282.79200000000003</v>
      </c>
      <c r="L221" s="2" t="s">
        <v>19</v>
      </c>
      <c r="M221" s="2" t="s">
        <v>70</v>
      </c>
      <c r="N221" s="2" t="s">
        <v>13</v>
      </c>
      <c r="O221" s="2">
        <v>54</v>
      </c>
      <c r="P221" s="2">
        <v>3</v>
      </c>
      <c r="Q221" s="2" t="str">
        <f>TEXT(tblOrders[[#This Row],[Order Date]],"mmm-yyyy")</f>
        <v>Jun-2026</v>
      </c>
      <c r="R221" s="3">
        <f>IF(N221="Cancelled",0,H221*INDEX(Assumptions!$C$7:$C$12,MATCH(F221,Assumptions!$B$7:$B$12,0)))</f>
        <v>137.13300000000001</v>
      </c>
      <c r="S221" s="3">
        <f>IF(N221="Cancelled",Assumptions!$C$19,IF(N221="Returned",Assumptions!$C$17+O221*Assumptions!$C$18+Assumptions!$C$20,Assumptions!$C$17+O221*Assumptions!$C$18))</f>
        <v>41.2</v>
      </c>
      <c r="T221" s="3">
        <f>R221+S221</f>
        <v>178.33300000000003</v>
      </c>
      <c r="U221" s="7">
        <f>K221-T221</f>
        <v>104.459</v>
      </c>
      <c r="V221" s="7">
        <f>IF(U221&gt;0,U221,0)</f>
        <v>104.459</v>
      </c>
      <c r="W221" s="5">
        <f>IF(U221&gt;0,U221/H221,0)</f>
        <v>0.34278073111504892</v>
      </c>
      <c r="X221" s="7">
        <f>IF(U221&lt;0,-U221,0)</f>
        <v>0</v>
      </c>
      <c r="Y221" s="5">
        <f>IF(U221&lt;0,-U221/H221,0)</f>
        <v>0</v>
      </c>
      <c r="Z221" s="2" t="str">
        <f>IF(U221&gt;=0,"Profitable",IF(N221="Cancelled","Order Cancelled",IF(N221="Returned","Order Returned",IF(AND(I221&gt;=0.15,U221&lt;0),"High Discount",IF(S221&gt;H221,"Delivery Cost Exceeded Order Value","Low Order Value / Thin Margin")))))</f>
        <v>Profitable</v>
      </c>
    </row>
  </sheetData>
  <conditionalFormatting sqref="N2:N221">
    <cfRule type="cellIs" dxfId="2" priority="2" operator="equal">
      <formula>"Cancelled"</formula>
    </cfRule>
    <cfRule type="cellIs" dxfId="1" priority="3" operator="equal">
      <formula>"Returned"</formula>
    </cfRule>
    <cfRule type="cellIs" dxfId="0" priority="4" operator="equal">
      <formula>"Delivered"</formula>
    </cfRule>
  </conditionalFormatting>
  <pageMargins left="0.75" right="0.75" top="1" bottom="1" header="0.511811023622047" footer="0.511811023622047"/>
  <pageSetup paperSize="9" orientation="portrait" horizontalDpi="300" verticalDpi="300" r:id="rId1"/>
  <legacy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dimension ref="B2:F29"/>
  <sheetViews>
    <sheetView showGridLines="0" zoomScaleNormal="100" workbookViewId="0">
      <selection activeCell="I8" sqref="I8"/>
    </sheetView>
  </sheetViews>
  <sheetFormatPr defaultColWidth="8.6640625" defaultRowHeight="14.4" x14ac:dyDescent="0.3"/>
  <cols>
    <col min="1" max="1" width="2" customWidth="1"/>
    <col min="2" max="2" width="34" customWidth="1"/>
    <col min="3" max="3" width="22" customWidth="1"/>
    <col min="4" max="4" width="46" customWidth="1"/>
    <col min="5" max="6" width="10" customWidth="1"/>
  </cols>
  <sheetData>
    <row r="2" spans="2:6" ht="16.8" x14ac:dyDescent="0.3">
      <c r="B2" s="49" t="s">
        <v>34</v>
      </c>
      <c r="C2" s="49"/>
      <c r="D2" s="49"/>
      <c r="E2" s="49"/>
      <c r="F2" s="49"/>
    </row>
    <row r="3" spans="2:6" x14ac:dyDescent="0.3">
      <c r="B3" s="50" t="s">
        <v>35</v>
      </c>
      <c r="C3" s="50"/>
      <c r="D3" s="50"/>
      <c r="E3" s="50"/>
      <c r="F3" s="50"/>
    </row>
    <row r="5" spans="2:6" ht="15.6" x14ac:dyDescent="0.3">
      <c r="B5" s="1" t="s">
        <v>36</v>
      </c>
    </row>
    <row r="6" spans="2:6" x14ac:dyDescent="0.3">
      <c r="B6" s="32" t="s">
        <v>2</v>
      </c>
      <c r="C6" s="32" t="s">
        <v>37</v>
      </c>
    </row>
    <row r="7" spans="2:6" x14ac:dyDescent="0.3">
      <c r="B7" s="20" t="s">
        <v>4</v>
      </c>
      <c r="C7" s="38">
        <v>0.78</v>
      </c>
    </row>
    <row r="8" spans="2:6" x14ac:dyDescent="0.3">
      <c r="B8" s="20" t="s">
        <v>6</v>
      </c>
      <c r="C8" s="38">
        <v>0.88</v>
      </c>
    </row>
    <row r="9" spans="2:6" x14ac:dyDescent="0.3">
      <c r="B9" s="20" t="s">
        <v>8</v>
      </c>
      <c r="C9" s="38">
        <v>0.55000000000000004</v>
      </c>
    </row>
    <row r="10" spans="2:6" x14ac:dyDescent="0.3">
      <c r="B10" s="20" t="s">
        <v>9</v>
      </c>
      <c r="C10" s="38">
        <v>0.45</v>
      </c>
    </row>
    <row r="11" spans="2:6" x14ac:dyDescent="0.3">
      <c r="B11" s="20" t="s">
        <v>10</v>
      </c>
      <c r="C11" s="38">
        <v>0.7</v>
      </c>
    </row>
    <row r="12" spans="2:6" x14ac:dyDescent="0.3">
      <c r="B12" s="20" t="s">
        <v>11</v>
      </c>
      <c r="C12" s="38">
        <v>0.65</v>
      </c>
    </row>
    <row r="15" spans="2:6" ht="15.6" x14ac:dyDescent="0.3">
      <c r="B15" s="1" t="s">
        <v>38</v>
      </c>
    </row>
    <row r="16" spans="2:6" x14ac:dyDescent="0.3">
      <c r="B16" s="32" t="s">
        <v>39</v>
      </c>
      <c r="C16" s="32" t="s">
        <v>40</v>
      </c>
      <c r="D16" s="32" t="s">
        <v>41</v>
      </c>
    </row>
    <row r="17" spans="2:4" x14ac:dyDescent="0.3">
      <c r="B17" s="2" t="s">
        <v>42</v>
      </c>
      <c r="C17" s="39">
        <v>25</v>
      </c>
      <c r="D17" s="42" t="s">
        <v>43</v>
      </c>
    </row>
    <row r="18" spans="2:4" x14ac:dyDescent="0.3">
      <c r="B18" s="2" t="s">
        <v>44</v>
      </c>
      <c r="C18" s="39">
        <v>0.3</v>
      </c>
      <c r="D18" s="42" t="s">
        <v>45</v>
      </c>
    </row>
    <row r="19" spans="2:4" x14ac:dyDescent="0.3">
      <c r="B19" s="2" t="s">
        <v>46</v>
      </c>
      <c r="C19" s="39">
        <v>15</v>
      </c>
      <c r="D19" s="42" t="s">
        <v>47</v>
      </c>
    </row>
    <row r="20" spans="2:4" x14ac:dyDescent="0.3">
      <c r="B20" s="2" t="s">
        <v>48</v>
      </c>
      <c r="C20" s="39">
        <v>20</v>
      </c>
      <c r="D20" s="42" t="s">
        <v>49</v>
      </c>
    </row>
    <row r="23" spans="2:4" ht="15.6" x14ac:dyDescent="0.3">
      <c r="B23" s="1"/>
    </row>
    <row r="24" spans="2:4" x14ac:dyDescent="0.3">
      <c r="B24" s="40"/>
      <c r="C24" s="41"/>
      <c r="D24" s="41"/>
    </row>
    <row r="25" spans="2:4" x14ac:dyDescent="0.3">
      <c r="B25" s="40"/>
      <c r="C25" s="41"/>
      <c r="D25" s="41"/>
    </row>
    <row r="26" spans="2:4" x14ac:dyDescent="0.3">
      <c r="B26" s="40"/>
      <c r="C26" s="41"/>
      <c r="D26" s="41"/>
    </row>
    <row r="27" spans="2:4" x14ac:dyDescent="0.3">
      <c r="B27" s="40"/>
      <c r="C27" s="41"/>
      <c r="D27" s="41"/>
    </row>
    <row r="28" spans="2:4" x14ac:dyDescent="0.3">
      <c r="B28" s="40"/>
      <c r="C28" s="41"/>
      <c r="D28" s="41"/>
    </row>
    <row r="29" spans="2:4" x14ac:dyDescent="0.3">
      <c r="B29" s="40"/>
      <c r="C29" s="41"/>
      <c r="D29" s="41"/>
    </row>
  </sheetData>
  <mergeCells count="2">
    <mergeCell ref="B2:F2"/>
    <mergeCell ref="B3:F3"/>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Pivot</vt:lpstr>
      <vt:lpstr>Riders (HR)</vt:lpstr>
      <vt:lpstr>Loss Analysis</vt:lpstr>
      <vt:lpstr>Dashboard</vt:lpstr>
      <vt:lpstr>Orders</vt:lpstr>
      <vt:lpstr>Assumptions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biswajeetojha37@outlook.com</cp:lastModifiedBy>
  <cp:revision>1</cp:revision>
  <dcterms:created xsi:type="dcterms:W3CDTF">2026-07-25T06:47:17Z</dcterms:created>
  <dcterms:modified xsi:type="dcterms:W3CDTF">2026-07-25T13:31:33Z</dcterms:modified>
  <dc:language>en-US</dc:language>
</cp:coreProperties>
</file>